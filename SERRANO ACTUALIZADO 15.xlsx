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0a072cb63781221b/Documentos/admin_serrano/"/>
    </mc:Choice>
  </mc:AlternateContent>
  <xr:revisionPtr revIDLastSave="0" documentId="8_{B6F825FC-69D6-428A-94F0-7B030398BD64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ESTADO_CUENTA" sheetId="2" r:id="rId1"/>
    <sheet name="VENTAS" sheetId="3" r:id="rId2"/>
    <sheet name="ABONOS" sheetId="4" r:id="rId3"/>
    <sheet name="PROYECTOS" sheetId="8" state="hidden" r:id="rId4"/>
    <sheet name="COMISIONES" sheetId="6" r:id="rId5"/>
    <sheet name="GUIA" sheetId="9" r:id="rId6"/>
  </sheets>
  <definedNames>
    <definedName name="_xlnm._FilterDatabase" localSheetId="2" hidden="1">ABONOS!$A$1:$H$44</definedName>
    <definedName name="_xlnm._FilterDatabase" localSheetId="1" hidden="1">VENTAS!$A$1:$R$100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6" l="1"/>
  <c r="J2" i="6" s="1"/>
  <c r="J200" i="6"/>
  <c r="I200" i="6"/>
  <c r="H200" i="6"/>
  <c r="J199" i="6"/>
  <c r="I199" i="6"/>
  <c r="H199" i="6"/>
  <c r="J198" i="6"/>
  <c r="I198" i="6"/>
  <c r="H198" i="6"/>
  <c r="J197" i="6"/>
  <c r="I197" i="6"/>
  <c r="H197" i="6"/>
  <c r="J196" i="6"/>
  <c r="I196" i="6"/>
  <c r="H196" i="6"/>
  <c r="J195" i="6"/>
  <c r="I195" i="6"/>
  <c r="H195" i="6"/>
  <c r="J194" i="6"/>
  <c r="I194" i="6"/>
  <c r="H194" i="6"/>
  <c r="J193" i="6"/>
  <c r="I193" i="6"/>
  <c r="H193" i="6"/>
  <c r="J192" i="6"/>
  <c r="I192" i="6"/>
  <c r="H192" i="6"/>
  <c r="J191" i="6"/>
  <c r="I191" i="6"/>
  <c r="H191" i="6"/>
  <c r="J190" i="6"/>
  <c r="I190" i="6"/>
  <c r="H190" i="6"/>
  <c r="J189" i="6"/>
  <c r="I189" i="6"/>
  <c r="H189" i="6"/>
  <c r="J188" i="6"/>
  <c r="I188" i="6"/>
  <c r="H188" i="6"/>
  <c r="J187" i="6"/>
  <c r="I187" i="6"/>
  <c r="H187" i="6"/>
  <c r="J186" i="6"/>
  <c r="I186" i="6"/>
  <c r="H186" i="6"/>
  <c r="J185" i="6"/>
  <c r="I185" i="6"/>
  <c r="H185" i="6"/>
  <c r="J184" i="6"/>
  <c r="I184" i="6"/>
  <c r="H184" i="6"/>
  <c r="J183" i="6"/>
  <c r="I183" i="6"/>
  <c r="H183" i="6"/>
  <c r="J182" i="6"/>
  <c r="I182" i="6"/>
  <c r="H182" i="6"/>
  <c r="J181" i="6"/>
  <c r="I181" i="6"/>
  <c r="H181" i="6"/>
  <c r="J180" i="6"/>
  <c r="I180" i="6"/>
  <c r="H180" i="6"/>
  <c r="J179" i="6"/>
  <c r="I179" i="6"/>
  <c r="H179" i="6"/>
  <c r="J178" i="6"/>
  <c r="I178" i="6"/>
  <c r="H178" i="6"/>
  <c r="J177" i="6"/>
  <c r="I177" i="6"/>
  <c r="H177" i="6"/>
  <c r="J176" i="6"/>
  <c r="I176" i="6"/>
  <c r="H176" i="6"/>
  <c r="J175" i="6"/>
  <c r="I175" i="6"/>
  <c r="H175" i="6"/>
  <c r="J174" i="6"/>
  <c r="I174" i="6"/>
  <c r="H174" i="6"/>
  <c r="J173" i="6"/>
  <c r="I173" i="6"/>
  <c r="H173" i="6"/>
  <c r="J172" i="6"/>
  <c r="I172" i="6"/>
  <c r="H172" i="6"/>
  <c r="J171" i="6"/>
  <c r="I171" i="6"/>
  <c r="H171" i="6"/>
  <c r="J170" i="6"/>
  <c r="I170" i="6"/>
  <c r="H170" i="6"/>
  <c r="J169" i="6"/>
  <c r="I169" i="6"/>
  <c r="H169" i="6"/>
  <c r="J168" i="6"/>
  <c r="I168" i="6"/>
  <c r="H168" i="6"/>
  <c r="J167" i="6"/>
  <c r="I167" i="6"/>
  <c r="H167" i="6"/>
  <c r="J166" i="6"/>
  <c r="I166" i="6"/>
  <c r="H166" i="6"/>
  <c r="J165" i="6"/>
  <c r="I165" i="6"/>
  <c r="H165" i="6"/>
  <c r="J164" i="6"/>
  <c r="I164" i="6"/>
  <c r="H164" i="6"/>
  <c r="J163" i="6"/>
  <c r="I163" i="6"/>
  <c r="H163" i="6"/>
  <c r="J162" i="6"/>
  <c r="I162" i="6"/>
  <c r="H162" i="6"/>
  <c r="J161" i="6"/>
  <c r="I161" i="6"/>
  <c r="H161" i="6"/>
  <c r="J160" i="6"/>
  <c r="I160" i="6"/>
  <c r="H160" i="6"/>
  <c r="J159" i="6"/>
  <c r="I159" i="6"/>
  <c r="H159" i="6"/>
  <c r="J158" i="6"/>
  <c r="I158" i="6"/>
  <c r="H158" i="6"/>
  <c r="J157" i="6"/>
  <c r="I157" i="6"/>
  <c r="H157" i="6"/>
  <c r="J156" i="6"/>
  <c r="I156" i="6"/>
  <c r="H156" i="6"/>
  <c r="J155" i="6"/>
  <c r="I155" i="6"/>
  <c r="H155" i="6"/>
  <c r="J154" i="6"/>
  <c r="I154" i="6"/>
  <c r="H154" i="6"/>
  <c r="J153" i="6"/>
  <c r="I153" i="6"/>
  <c r="H153" i="6"/>
  <c r="J152" i="6"/>
  <c r="I152" i="6"/>
  <c r="H152" i="6"/>
  <c r="J151" i="6"/>
  <c r="I151" i="6"/>
  <c r="H151" i="6"/>
  <c r="J150" i="6"/>
  <c r="I150" i="6"/>
  <c r="H150" i="6"/>
  <c r="J149" i="6"/>
  <c r="I149" i="6"/>
  <c r="H149" i="6"/>
  <c r="J148" i="6"/>
  <c r="I148" i="6"/>
  <c r="H148" i="6"/>
  <c r="J147" i="6"/>
  <c r="I147" i="6"/>
  <c r="H147" i="6"/>
  <c r="J146" i="6"/>
  <c r="I146" i="6"/>
  <c r="H146" i="6"/>
  <c r="J145" i="6"/>
  <c r="I145" i="6"/>
  <c r="H145" i="6"/>
  <c r="J144" i="6"/>
  <c r="I144" i="6"/>
  <c r="H144" i="6"/>
  <c r="J143" i="6"/>
  <c r="I143" i="6"/>
  <c r="H143" i="6"/>
  <c r="J142" i="6"/>
  <c r="I142" i="6"/>
  <c r="H142" i="6"/>
  <c r="J141" i="6"/>
  <c r="I141" i="6"/>
  <c r="H141" i="6"/>
  <c r="J140" i="6"/>
  <c r="I140" i="6"/>
  <c r="H140" i="6"/>
  <c r="J139" i="6"/>
  <c r="I139" i="6"/>
  <c r="H139" i="6"/>
  <c r="J138" i="6"/>
  <c r="I138" i="6"/>
  <c r="H138" i="6"/>
  <c r="J137" i="6"/>
  <c r="I137" i="6"/>
  <c r="H137" i="6"/>
  <c r="J136" i="6"/>
  <c r="I136" i="6"/>
  <c r="H136" i="6"/>
  <c r="J135" i="6"/>
  <c r="I135" i="6"/>
  <c r="H135" i="6"/>
  <c r="J134" i="6"/>
  <c r="I134" i="6"/>
  <c r="H134" i="6"/>
  <c r="J133" i="6"/>
  <c r="I133" i="6"/>
  <c r="H133" i="6"/>
  <c r="J132" i="6"/>
  <c r="I132" i="6"/>
  <c r="H132" i="6"/>
  <c r="J131" i="6"/>
  <c r="I131" i="6"/>
  <c r="H131" i="6"/>
  <c r="J130" i="6"/>
  <c r="I130" i="6"/>
  <c r="H130" i="6"/>
  <c r="J129" i="6"/>
  <c r="I129" i="6"/>
  <c r="H129" i="6"/>
  <c r="J128" i="6"/>
  <c r="I128" i="6"/>
  <c r="H128" i="6"/>
  <c r="J127" i="6"/>
  <c r="I127" i="6"/>
  <c r="H127" i="6"/>
  <c r="J126" i="6"/>
  <c r="I126" i="6"/>
  <c r="H126" i="6"/>
  <c r="J125" i="6"/>
  <c r="I125" i="6"/>
  <c r="H125" i="6"/>
  <c r="J124" i="6"/>
  <c r="I124" i="6"/>
  <c r="H124" i="6"/>
  <c r="J123" i="6"/>
  <c r="I123" i="6"/>
  <c r="H123" i="6"/>
  <c r="J122" i="6"/>
  <c r="I122" i="6"/>
  <c r="H122" i="6"/>
  <c r="J121" i="6"/>
  <c r="I121" i="6"/>
  <c r="H121" i="6"/>
  <c r="J120" i="6"/>
  <c r="I120" i="6"/>
  <c r="H120" i="6"/>
  <c r="J119" i="6"/>
  <c r="I119" i="6"/>
  <c r="H119" i="6"/>
  <c r="J118" i="6"/>
  <c r="I118" i="6"/>
  <c r="H118" i="6"/>
  <c r="J117" i="6"/>
  <c r="I117" i="6"/>
  <c r="H117" i="6"/>
  <c r="J116" i="6"/>
  <c r="I116" i="6"/>
  <c r="H116" i="6"/>
  <c r="J115" i="6"/>
  <c r="I115" i="6"/>
  <c r="H115" i="6"/>
  <c r="J114" i="6"/>
  <c r="I114" i="6"/>
  <c r="H114" i="6"/>
  <c r="J113" i="6"/>
  <c r="I113" i="6"/>
  <c r="H113" i="6"/>
  <c r="J112" i="6"/>
  <c r="I112" i="6"/>
  <c r="H112" i="6"/>
  <c r="J111" i="6"/>
  <c r="I111" i="6"/>
  <c r="H111" i="6"/>
  <c r="J110" i="6"/>
  <c r="I110" i="6"/>
  <c r="H110" i="6"/>
  <c r="J109" i="6"/>
  <c r="I109" i="6"/>
  <c r="H109" i="6"/>
  <c r="J108" i="6"/>
  <c r="I108" i="6"/>
  <c r="H108" i="6"/>
  <c r="J107" i="6"/>
  <c r="I107" i="6"/>
  <c r="H107" i="6"/>
  <c r="J106" i="6"/>
  <c r="I106" i="6"/>
  <c r="H106" i="6"/>
  <c r="J105" i="6"/>
  <c r="I105" i="6"/>
  <c r="H105" i="6"/>
  <c r="J104" i="6"/>
  <c r="I104" i="6"/>
  <c r="H104" i="6"/>
  <c r="J103" i="6"/>
  <c r="I103" i="6"/>
  <c r="H103" i="6"/>
  <c r="J102" i="6"/>
  <c r="I102" i="6"/>
  <c r="H102" i="6"/>
  <c r="J101" i="6"/>
  <c r="I101" i="6"/>
  <c r="H101" i="6"/>
  <c r="J100" i="6"/>
  <c r="I100" i="6"/>
  <c r="H100" i="6"/>
  <c r="J99" i="6"/>
  <c r="I99" i="6"/>
  <c r="H99" i="6"/>
  <c r="J98" i="6"/>
  <c r="I98" i="6"/>
  <c r="H98" i="6"/>
  <c r="J97" i="6"/>
  <c r="I97" i="6"/>
  <c r="H97" i="6"/>
  <c r="J96" i="6"/>
  <c r="I96" i="6"/>
  <c r="H96" i="6"/>
  <c r="J95" i="6"/>
  <c r="I95" i="6"/>
  <c r="H95" i="6"/>
  <c r="J94" i="6"/>
  <c r="I94" i="6"/>
  <c r="H94" i="6"/>
  <c r="J93" i="6"/>
  <c r="I93" i="6"/>
  <c r="H93" i="6"/>
  <c r="J92" i="6"/>
  <c r="I92" i="6"/>
  <c r="H92" i="6"/>
  <c r="J91" i="6"/>
  <c r="I91" i="6"/>
  <c r="H91" i="6"/>
  <c r="J90" i="6"/>
  <c r="I90" i="6"/>
  <c r="H90" i="6"/>
  <c r="J89" i="6"/>
  <c r="I89" i="6"/>
  <c r="H89" i="6"/>
  <c r="J88" i="6"/>
  <c r="I88" i="6"/>
  <c r="H88" i="6"/>
  <c r="J87" i="6"/>
  <c r="I87" i="6"/>
  <c r="H87" i="6"/>
  <c r="J86" i="6"/>
  <c r="I86" i="6"/>
  <c r="H86" i="6"/>
  <c r="J85" i="6"/>
  <c r="I85" i="6"/>
  <c r="H85" i="6"/>
  <c r="J84" i="6"/>
  <c r="I84" i="6"/>
  <c r="H84" i="6"/>
  <c r="J83" i="6"/>
  <c r="I83" i="6"/>
  <c r="H83" i="6"/>
  <c r="J82" i="6"/>
  <c r="I82" i="6"/>
  <c r="H82" i="6"/>
  <c r="J81" i="6"/>
  <c r="I81" i="6"/>
  <c r="H81" i="6"/>
  <c r="J80" i="6"/>
  <c r="I80" i="6"/>
  <c r="H80" i="6"/>
  <c r="J79" i="6"/>
  <c r="I79" i="6"/>
  <c r="H79" i="6"/>
  <c r="J78" i="6"/>
  <c r="I78" i="6"/>
  <c r="H78" i="6"/>
  <c r="J77" i="6"/>
  <c r="I77" i="6"/>
  <c r="H77" i="6"/>
  <c r="J76" i="6"/>
  <c r="I76" i="6"/>
  <c r="H76" i="6"/>
  <c r="J75" i="6"/>
  <c r="I75" i="6"/>
  <c r="H75" i="6"/>
  <c r="J74" i="6"/>
  <c r="I74" i="6"/>
  <c r="H74" i="6"/>
  <c r="J73" i="6"/>
  <c r="I73" i="6"/>
  <c r="H73" i="6"/>
  <c r="J72" i="6"/>
  <c r="I72" i="6"/>
  <c r="H72" i="6"/>
  <c r="J71" i="6"/>
  <c r="I71" i="6"/>
  <c r="H71" i="6"/>
  <c r="J70" i="6"/>
  <c r="I70" i="6"/>
  <c r="H70" i="6"/>
  <c r="J69" i="6"/>
  <c r="I69" i="6"/>
  <c r="H69" i="6"/>
  <c r="J68" i="6"/>
  <c r="I68" i="6"/>
  <c r="H68" i="6"/>
  <c r="J67" i="6"/>
  <c r="I67" i="6"/>
  <c r="H67" i="6"/>
  <c r="J66" i="6"/>
  <c r="I66" i="6"/>
  <c r="H66" i="6"/>
  <c r="J65" i="6"/>
  <c r="I65" i="6"/>
  <c r="H65" i="6"/>
  <c r="J64" i="6"/>
  <c r="I64" i="6"/>
  <c r="H64" i="6"/>
  <c r="J63" i="6"/>
  <c r="I63" i="6"/>
  <c r="H63" i="6"/>
  <c r="J62" i="6"/>
  <c r="I62" i="6"/>
  <c r="H62" i="6"/>
  <c r="J61" i="6"/>
  <c r="I61" i="6"/>
  <c r="H61" i="6"/>
  <c r="J60" i="6"/>
  <c r="I60" i="6"/>
  <c r="H60" i="6"/>
  <c r="J59" i="6"/>
  <c r="I59" i="6"/>
  <c r="H59" i="6"/>
  <c r="J58" i="6"/>
  <c r="I58" i="6"/>
  <c r="H58" i="6"/>
  <c r="J57" i="6"/>
  <c r="I57" i="6"/>
  <c r="H57" i="6"/>
  <c r="J56" i="6"/>
  <c r="I56" i="6"/>
  <c r="H56" i="6"/>
  <c r="J55" i="6"/>
  <c r="I55" i="6"/>
  <c r="H55" i="6"/>
  <c r="J54" i="6"/>
  <c r="I54" i="6"/>
  <c r="H54" i="6"/>
  <c r="J53" i="6"/>
  <c r="I53" i="6"/>
  <c r="H53" i="6"/>
  <c r="J52" i="6"/>
  <c r="I52" i="6"/>
  <c r="H52" i="6"/>
  <c r="J51" i="6"/>
  <c r="I51" i="6"/>
  <c r="H51" i="6"/>
  <c r="J50" i="6"/>
  <c r="I50" i="6"/>
  <c r="H50" i="6"/>
  <c r="J49" i="6"/>
  <c r="I49" i="6"/>
  <c r="H49" i="6"/>
  <c r="J48" i="6"/>
  <c r="I48" i="6"/>
  <c r="H48" i="6"/>
  <c r="J47" i="6"/>
  <c r="I47" i="6"/>
  <c r="H47" i="6"/>
  <c r="J46" i="6"/>
  <c r="I46" i="6"/>
  <c r="H46" i="6"/>
  <c r="J45" i="6"/>
  <c r="I45" i="6"/>
  <c r="H45" i="6"/>
  <c r="J44" i="6"/>
  <c r="I44" i="6"/>
  <c r="H44" i="6"/>
  <c r="J43" i="6"/>
  <c r="I43" i="6"/>
  <c r="H43" i="6"/>
  <c r="J42" i="6"/>
  <c r="I42" i="6"/>
  <c r="H42" i="6"/>
  <c r="J41" i="6"/>
  <c r="I41" i="6"/>
  <c r="H41" i="6"/>
  <c r="J40" i="6"/>
  <c r="I40" i="6"/>
  <c r="H40" i="6"/>
  <c r="J39" i="6"/>
  <c r="I39" i="6"/>
  <c r="H39" i="6"/>
  <c r="J38" i="6"/>
  <c r="I38" i="6"/>
  <c r="H38" i="6"/>
  <c r="J37" i="6"/>
  <c r="I37" i="6"/>
  <c r="H37" i="6"/>
  <c r="J36" i="6"/>
  <c r="I36" i="6"/>
  <c r="H36" i="6"/>
  <c r="J35" i="6"/>
  <c r="I35" i="6"/>
  <c r="H35" i="6"/>
  <c r="J34" i="6"/>
  <c r="I34" i="6"/>
  <c r="H34" i="6"/>
  <c r="J33" i="6"/>
  <c r="I33" i="6"/>
  <c r="H33" i="6"/>
  <c r="J32" i="6"/>
  <c r="I32" i="6"/>
  <c r="H32" i="6"/>
  <c r="J31" i="6"/>
  <c r="I31" i="6"/>
  <c r="H31" i="6"/>
  <c r="J30" i="6"/>
  <c r="I30" i="6"/>
  <c r="H30" i="6"/>
  <c r="J29" i="6"/>
  <c r="I29" i="6"/>
  <c r="H29" i="6"/>
  <c r="J28" i="6"/>
  <c r="I28" i="6"/>
  <c r="H28" i="6"/>
  <c r="J27" i="6"/>
  <c r="I27" i="6"/>
  <c r="H27" i="6"/>
  <c r="J26" i="6"/>
  <c r="I26" i="6"/>
  <c r="H26" i="6"/>
  <c r="J25" i="6"/>
  <c r="I25" i="6"/>
  <c r="H25" i="6"/>
  <c r="J24" i="6"/>
  <c r="I24" i="6"/>
  <c r="H24" i="6"/>
  <c r="J23" i="6"/>
  <c r="I23" i="6"/>
  <c r="H23" i="6"/>
  <c r="J22" i="6"/>
  <c r="I22" i="6"/>
  <c r="H22" i="6"/>
  <c r="J21" i="6"/>
  <c r="I21" i="6"/>
  <c r="H21" i="6"/>
  <c r="J20" i="6"/>
  <c r="I20" i="6"/>
  <c r="H20" i="6"/>
  <c r="J19" i="6"/>
  <c r="I19" i="6"/>
  <c r="H19" i="6"/>
  <c r="J18" i="6"/>
  <c r="I18" i="6"/>
  <c r="H18" i="6"/>
  <c r="J17" i="6"/>
  <c r="I17" i="6"/>
  <c r="H17" i="6"/>
  <c r="J16" i="6"/>
  <c r="I16" i="6"/>
  <c r="H16" i="6"/>
  <c r="J15" i="6"/>
  <c r="I15" i="6"/>
  <c r="H15" i="6"/>
  <c r="H14" i="6"/>
  <c r="H13" i="6"/>
  <c r="J13" i="6" s="1"/>
  <c r="H12" i="6"/>
  <c r="J12" i="6" s="1"/>
  <c r="H11" i="6"/>
  <c r="J11" i="6" s="1"/>
  <c r="H10" i="6"/>
  <c r="J10" i="6" s="1"/>
  <c r="H9" i="6"/>
  <c r="J9" i="6" s="1"/>
  <c r="H8" i="6"/>
  <c r="J8" i="6" s="1"/>
  <c r="H7" i="6"/>
  <c r="J7" i="6" s="1"/>
  <c r="H6" i="6"/>
  <c r="J6" i="6" s="1"/>
  <c r="H5" i="6"/>
  <c r="J5" i="6" s="1"/>
  <c r="H4" i="6"/>
  <c r="J4" i="6" s="1"/>
  <c r="H3" i="6"/>
  <c r="J3" i="6" s="1"/>
  <c r="P100" i="3"/>
  <c r="P99" i="3"/>
  <c r="P98" i="3"/>
  <c r="P97" i="3"/>
  <c r="P96" i="3"/>
  <c r="P95" i="3"/>
  <c r="P94" i="3"/>
  <c r="P93" i="3"/>
  <c r="P92" i="3"/>
  <c r="P91" i="3"/>
  <c r="P90" i="3"/>
  <c r="P89" i="3"/>
  <c r="P88" i="3"/>
  <c r="P87" i="3"/>
  <c r="P86" i="3"/>
  <c r="P85" i="3"/>
  <c r="P84" i="3"/>
  <c r="P83" i="3"/>
  <c r="P82" i="3"/>
  <c r="P81" i="3"/>
  <c r="P80" i="3"/>
  <c r="P79" i="3"/>
  <c r="P78" i="3"/>
  <c r="P77" i="3"/>
  <c r="P76" i="3"/>
  <c r="P75" i="3"/>
  <c r="P74" i="3"/>
  <c r="P73" i="3"/>
  <c r="P72" i="3"/>
  <c r="P71" i="3"/>
  <c r="P70" i="3"/>
  <c r="P69" i="3"/>
  <c r="P68" i="3"/>
  <c r="P67" i="3"/>
  <c r="P66" i="3"/>
  <c r="P65" i="3"/>
  <c r="P64" i="3"/>
  <c r="P63" i="3"/>
  <c r="P62" i="3"/>
  <c r="P61" i="3"/>
  <c r="P60" i="3"/>
  <c r="P59" i="3"/>
  <c r="P58" i="3"/>
  <c r="P57" i="3"/>
  <c r="P56" i="3"/>
  <c r="P55" i="3"/>
  <c r="P54" i="3"/>
  <c r="P53" i="3"/>
  <c r="P52" i="3"/>
  <c r="P51" i="3"/>
  <c r="P50" i="3"/>
  <c r="P49" i="3"/>
  <c r="P48" i="3"/>
  <c r="P47" i="3"/>
  <c r="P46" i="3"/>
  <c r="P45" i="3"/>
  <c r="P44" i="3"/>
  <c r="P43" i="3"/>
  <c r="P42" i="3"/>
  <c r="P41" i="3"/>
  <c r="P40" i="3"/>
  <c r="P39" i="3"/>
  <c r="P38" i="3"/>
  <c r="P37" i="3"/>
  <c r="P36" i="3"/>
  <c r="P35" i="3"/>
  <c r="P34" i="3"/>
  <c r="P33" i="3"/>
  <c r="P32" i="3"/>
  <c r="P31" i="3"/>
  <c r="P30" i="3"/>
  <c r="P29" i="3"/>
  <c r="P28" i="3"/>
  <c r="P27" i="3"/>
  <c r="P26" i="3"/>
  <c r="P25" i="3"/>
  <c r="P24" i="3"/>
  <c r="P23" i="3"/>
  <c r="P22" i="3"/>
  <c r="P21" i="3"/>
  <c r="P20" i="3"/>
  <c r="P19" i="3"/>
  <c r="P18" i="3"/>
  <c r="P17" i="3"/>
  <c r="P16" i="3"/>
  <c r="P15" i="3"/>
  <c r="P14" i="3"/>
  <c r="P13" i="3"/>
  <c r="P12" i="3"/>
  <c r="P11" i="3"/>
  <c r="P10" i="3"/>
  <c r="P9" i="3"/>
  <c r="P8" i="3"/>
  <c r="P7" i="3"/>
  <c r="P6" i="3"/>
  <c r="P5" i="3"/>
  <c r="P4" i="3"/>
  <c r="P3" i="3"/>
  <c r="P2" i="3"/>
  <c r="H27" i="2"/>
  <c r="G27" i="2"/>
  <c r="F27" i="2"/>
  <c r="E27" i="2"/>
  <c r="D27" i="2"/>
  <c r="C27" i="2"/>
  <c r="C26" i="2"/>
  <c r="C25" i="2"/>
  <c r="C24" i="2"/>
  <c r="C23" i="2"/>
  <c r="C22" i="2"/>
  <c r="C21" i="2"/>
  <c r="C20" i="2"/>
  <c r="C19" i="2"/>
  <c r="C18" i="2"/>
  <c r="C17" i="2"/>
  <c r="C16" i="2"/>
  <c r="G12" i="2"/>
  <c r="D12" i="2"/>
  <c r="D11" i="2"/>
  <c r="D10" i="2"/>
  <c r="G9" i="2"/>
  <c r="D9" i="2"/>
  <c r="G8" i="2"/>
  <c r="D8" i="2"/>
  <c r="J14" i="6" l="1"/>
  <c r="Q53" i="3"/>
  <c r="R53" i="3"/>
  <c r="R100" i="3"/>
  <c r="Q100" i="3"/>
  <c r="R99" i="3"/>
  <c r="Q99" i="3"/>
  <c r="Q98" i="3"/>
  <c r="R98" i="3"/>
  <c r="R97" i="3"/>
  <c r="Q97" i="3"/>
  <c r="Q96" i="3"/>
  <c r="R96" i="3"/>
  <c r="R95" i="3"/>
  <c r="Q95" i="3"/>
  <c r="Q94" i="3"/>
  <c r="R94" i="3"/>
  <c r="R93" i="3"/>
  <c r="Q93" i="3"/>
  <c r="R92" i="3"/>
  <c r="Q92" i="3"/>
  <c r="R91" i="3"/>
  <c r="Q91" i="3"/>
  <c r="Q90" i="3"/>
  <c r="R90" i="3"/>
  <c r="Q89" i="3"/>
  <c r="R89" i="3"/>
  <c r="R88" i="3"/>
  <c r="Q88" i="3"/>
  <c r="R87" i="3"/>
  <c r="Q87" i="3"/>
  <c r="Q86" i="3"/>
  <c r="R86" i="3"/>
  <c r="R85" i="3"/>
  <c r="Q85" i="3"/>
  <c r="R84" i="3"/>
  <c r="Q84" i="3"/>
  <c r="R83" i="3"/>
  <c r="Q83" i="3"/>
  <c r="R82" i="3"/>
  <c r="Q82" i="3"/>
  <c r="Q81" i="3"/>
  <c r="R81" i="3"/>
  <c r="R80" i="3"/>
  <c r="Q80" i="3"/>
  <c r="Q79" i="3"/>
  <c r="R79" i="3"/>
  <c r="R78" i="3"/>
  <c r="Q78" i="3"/>
  <c r="Q77" i="3"/>
  <c r="R77" i="3"/>
  <c r="Q76" i="3"/>
  <c r="R76" i="3"/>
  <c r="Q75" i="3"/>
  <c r="R75" i="3"/>
  <c r="Q74" i="3"/>
  <c r="R74" i="3"/>
  <c r="R73" i="3"/>
  <c r="Q73" i="3"/>
  <c r="R72" i="3"/>
  <c r="Q72" i="3"/>
  <c r="R71" i="3"/>
  <c r="Q71" i="3"/>
  <c r="R70" i="3"/>
  <c r="Q70" i="3"/>
  <c r="R69" i="3"/>
  <c r="Q69" i="3"/>
  <c r="Q68" i="3"/>
  <c r="R68" i="3"/>
  <c r="R67" i="3"/>
  <c r="Q67" i="3"/>
  <c r="Q66" i="3"/>
  <c r="R66" i="3"/>
  <c r="R65" i="3"/>
  <c r="Q65" i="3"/>
  <c r="R64" i="3"/>
  <c r="Q64" i="3"/>
  <c r="R63" i="3"/>
  <c r="Q63" i="3"/>
  <c r="Q62" i="3"/>
  <c r="R62" i="3"/>
  <c r="Q61" i="3"/>
  <c r="R61" i="3"/>
  <c r="R60" i="3"/>
  <c r="Q60" i="3"/>
  <c r="Q59" i="3"/>
  <c r="R59" i="3"/>
  <c r="R58" i="3"/>
  <c r="Q58" i="3"/>
  <c r="R57" i="3"/>
  <c r="Q57" i="3"/>
  <c r="Q56" i="3"/>
  <c r="R56" i="3"/>
  <c r="R55" i="3"/>
  <c r="Q55" i="3"/>
  <c r="Q54" i="3"/>
  <c r="R54" i="3"/>
  <c r="Q52" i="3"/>
  <c r="R52" i="3"/>
  <c r="Q51" i="3"/>
  <c r="R51" i="3"/>
  <c r="Q50" i="3"/>
  <c r="R50" i="3"/>
  <c r="R49" i="3"/>
  <c r="Q49" i="3"/>
  <c r="R48" i="3"/>
  <c r="Q48" i="3"/>
  <c r="R47" i="3"/>
  <c r="Q47" i="3"/>
  <c r="R46" i="3"/>
  <c r="Q46" i="3"/>
  <c r="R45" i="3"/>
  <c r="Q45" i="3"/>
  <c r="R44" i="3"/>
  <c r="Q44" i="3"/>
  <c r="R43" i="3"/>
  <c r="Q43" i="3"/>
  <c r="R42" i="3"/>
  <c r="Q42" i="3"/>
  <c r="R41" i="3"/>
  <c r="Q41" i="3"/>
  <c r="Q40" i="3"/>
  <c r="R40" i="3"/>
  <c r="R39" i="3"/>
  <c r="Q39" i="3"/>
  <c r="R38" i="3"/>
  <c r="Q38" i="3"/>
  <c r="Q37" i="3"/>
  <c r="R37" i="3"/>
  <c r="R36" i="3"/>
  <c r="Q36" i="3"/>
  <c r="Q35" i="3"/>
  <c r="R35" i="3"/>
  <c r="R34" i="3"/>
  <c r="Q34" i="3"/>
  <c r="R33" i="3"/>
  <c r="Q33" i="3"/>
  <c r="Q32" i="3"/>
  <c r="R32" i="3"/>
  <c r="Q31" i="3"/>
  <c r="R31" i="3"/>
  <c r="Q30" i="3"/>
  <c r="R30" i="3"/>
  <c r="Q29" i="3"/>
  <c r="R29" i="3"/>
  <c r="Q28" i="3"/>
  <c r="R28" i="3"/>
  <c r="R27" i="3"/>
  <c r="Q27" i="3"/>
  <c r="R26" i="3"/>
  <c r="Q26" i="3"/>
  <c r="R25" i="3"/>
  <c r="Q25" i="3"/>
  <c r="Q24" i="3"/>
  <c r="R24" i="3"/>
  <c r="R23" i="3"/>
  <c r="Q23" i="3"/>
  <c r="R22" i="3"/>
  <c r="Q22" i="3"/>
  <c r="R21" i="3"/>
  <c r="Q21" i="3"/>
  <c r="R20" i="3"/>
  <c r="Q20" i="3"/>
  <c r="R19" i="3"/>
  <c r="Q19" i="3"/>
  <c r="R18" i="3"/>
  <c r="Q18" i="3"/>
  <c r="R17" i="3"/>
  <c r="Q17" i="3"/>
  <c r="R16" i="3"/>
  <c r="Q16" i="3"/>
  <c r="R15" i="3"/>
  <c r="Q15" i="3"/>
  <c r="R14" i="3"/>
  <c r="Q14" i="3"/>
  <c r="G11" i="2"/>
  <c r="G10" i="2"/>
  <c r="R13" i="3"/>
  <c r="Q13" i="3"/>
  <c r="Q12" i="3"/>
  <c r="R12" i="3"/>
  <c r="Q11" i="3"/>
  <c r="R11" i="3"/>
  <c r="Q10" i="3"/>
  <c r="R10" i="3"/>
  <c r="R9" i="3"/>
  <c r="Q9" i="3"/>
  <c r="R8" i="3"/>
  <c r="Q8" i="3"/>
  <c r="R7" i="3"/>
  <c r="Q7" i="3"/>
  <c r="R6" i="3"/>
  <c r="Q6" i="3"/>
  <c r="Q5" i="3"/>
  <c r="R5" i="3"/>
  <c r="Q4" i="3"/>
  <c r="R4" i="3"/>
  <c r="R3" i="3"/>
  <c r="Q3" i="3"/>
  <c r="R2" i="3"/>
  <c r="Q2" i="3"/>
  <c r="D26" i="2"/>
  <c r="E26" i="2"/>
  <c r="F26" i="2"/>
  <c r="G26" i="2"/>
  <c r="D25" i="2"/>
  <c r="E25" i="2"/>
  <c r="F25" i="2"/>
  <c r="G25" i="2"/>
  <c r="F24" i="2"/>
  <c r="D24" i="2"/>
  <c r="G24" i="2"/>
  <c r="E24" i="2"/>
  <c r="E23" i="2"/>
  <c r="D23" i="2"/>
  <c r="F23" i="2"/>
  <c r="G23" i="2"/>
  <c r="G22" i="2"/>
  <c r="F22" i="2"/>
  <c r="E22" i="2"/>
  <c r="D22" i="2"/>
  <c r="E21" i="2"/>
  <c r="G21" i="2"/>
  <c r="F21" i="2"/>
  <c r="D21" i="2"/>
  <c r="D20" i="2"/>
  <c r="E20" i="2"/>
  <c r="F20" i="2"/>
  <c r="G20" i="2"/>
  <c r="E19" i="2"/>
  <c r="F19" i="2"/>
  <c r="G19" i="2"/>
  <c r="D19" i="2"/>
  <c r="D18" i="2"/>
  <c r="E18" i="2"/>
  <c r="F18" i="2"/>
  <c r="G18" i="2"/>
  <c r="D17" i="2"/>
  <c r="E17" i="2"/>
  <c r="F17" i="2"/>
  <c r="G17" i="2"/>
  <c r="F16" i="2"/>
  <c r="G16" i="2"/>
  <c r="E16" i="2"/>
  <c r="D16" i="2"/>
</calcChain>
</file>

<file path=xl/sharedStrings.xml><?xml version="1.0" encoding="utf-8"?>
<sst xmlns="http://schemas.openxmlformats.org/spreadsheetml/2006/main" count="550" uniqueCount="369">
  <si>
    <t>Proyecto</t>
  </si>
  <si>
    <t>Amaranta</t>
  </si>
  <si>
    <t>Los Almendros</t>
  </si>
  <si>
    <t>Altos del Valle</t>
  </si>
  <si>
    <t>ESTADO DE CUENTA · COMPRADOR</t>
  </si>
  <si>
    <t>ID VENTA</t>
  </si>
  <si>
    <t>V001</t>
  </si>
  <si>
    <t>Comprador</t>
  </si>
  <si>
    <t>Valor negocio</t>
  </si>
  <si>
    <t>Total recibido</t>
  </si>
  <si>
    <t>Lote</t>
  </si>
  <si>
    <t>Saldo pendiente</t>
  </si>
  <si>
    <t>Documento</t>
  </si>
  <si>
    <t>% recaudado</t>
  </si>
  <si>
    <t>Fecha venta</t>
  </si>
  <si>
    <t>Inicial pactada</t>
  </si>
  <si>
    <t>N° abono</t>
  </si>
  <si>
    <t>Fecha</t>
  </si>
  <si>
    <t>Valor recibido</t>
  </si>
  <si>
    <t>Medio de pago</t>
  </si>
  <si>
    <t>Referencia</t>
  </si>
  <si>
    <t>ID venta</t>
  </si>
  <si>
    <t>ID proyecto</t>
  </si>
  <si>
    <t>Área m²</t>
  </si>
  <si>
    <t>Cédula</t>
  </si>
  <si>
    <t>Teléfono</t>
  </si>
  <si>
    <t>Correo</t>
  </si>
  <si>
    <t>Dirección</t>
  </si>
  <si>
    <t>Método inicial</t>
  </si>
  <si>
    <t>Total abonado</t>
  </si>
  <si>
    <t>Saldo negocio</t>
  </si>
  <si>
    <t>L-001</t>
  </si>
  <si>
    <t>V002</t>
  </si>
  <si>
    <t>PR02</t>
  </si>
  <si>
    <t>Transferencia</t>
  </si>
  <si>
    <t>V003</t>
  </si>
  <si>
    <t>PR03</t>
  </si>
  <si>
    <t>V004</t>
  </si>
  <si>
    <t>L-002</t>
  </si>
  <si>
    <t>V005</t>
  </si>
  <si>
    <t>V006</t>
  </si>
  <si>
    <t>V007</t>
  </si>
  <si>
    <t>L-003</t>
  </si>
  <si>
    <t>V008</t>
  </si>
  <si>
    <t>V009</t>
  </si>
  <si>
    <t>V010</t>
  </si>
  <si>
    <t>L-004</t>
  </si>
  <si>
    <t>V011</t>
  </si>
  <si>
    <t>V012</t>
  </si>
  <si>
    <t>ID abono</t>
  </si>
  <si>
    <t>N° cuota aplicada</t>
  </si>
  <si>
    <t>Fecha abono</t>
  </si>
  <si>
    <t>Observaciones</t>
  </si>
  <si>
    <t>A0001</t>
  </si>
  <si>
    <t>A0002</t>
  </si>
  <si>
    <t>A0003</t>
  </si>
  <si>
    <t>A0004</t>
  </si>
  <si>
    <t>A0005</t>
  </si>
  <si>
    <t>A0006</t>
  </si>
  <si>
    <t>A0007</t>
  </si>
  <si>
    <t>A0008</t>
  </si>
  <si>
    <t>A0009</t>
  </si>
  <si>
    <t>A0010</t>
  </si>
  <si>
    <t>A0011</t>
  </si>
  <si>
    <t>A0012</t>
  </si>
  <si>
    <t>A0013</t>
  </si>
  <si>
    <t>A0014</t>
  </si>
  <si>
    <t>A0015</t>
  </si>
  <si>
    <t>A0016</t>
  </si>
  <si>
    <t>A0017</t>
  </si>
  <si>
    <t>A0018</t>
  </si>
  <si>
    <t>A0019</t>
  </si>
  <si>
    <t>A0020</t>
  </si>
  <si>
    <t>A0021</t>
  </si>
  <si>
    <t>A0022</t>
  </si>
  <si>
    <t>A0023</t>
  </si>
  <si>
    <t>A0024</t>
  </si>
  <si>
    <t>A0025</t>
  </si>
  <si>
    <t>A0026</t>
  </si>
  <si>
    <t>A0027</t>
  </si>
  <si>
    <t>A0028</t>
  </si>
  <si>
    <t>A0029</t>
  </si>
  <si>
    <t>A0030</t>
  </si>
  <si>
    <t>A0031</t>
  </si>
  <si>
    <t>A0032</t>
  </si>
  <si>
    <t>A0033</t>
  </si>
  <si>
    <t>A0034</t>
  </si>
  <si>
    <t>A0035</t>
  </si>
  <si>
    <t>A0036</t>
  </si>
  <si>
    <t>A0037</t>
  </si>
  <si>
    <t>A0038</t>
  </si>
  <si>
    <t>A0039</t>
  </si>
  <si>
    <t>A0040</t>
  </si>
  <si>
    <t>A0041</t>
  </si>
  <si>
    <t>A0042</t>
  </si>
  <si>
    <t>ID comisión</t>
  </si>
  <si>
    <t>¿Aplica?</t>
  </si>
  <si>
    <t>Comisionista</t>
  </si>
  <si>
    <t>% comisión</t>
  </si>
  <si>
    <t>Valor comisión</t>
  </si>
  <si>
    <t>Pagado</t>
  </si>
  <si>
    <t>Saldo comisión</t>
  </si>
  <si>
    <t>CM001</t>
  </si>
  <si>
    <t>CM002</t>
  </si>
  <si>
    <t>CM003</t>
  </si>
  <si>
    <t>CM004</t>
  </si>
  <si>
    <t>CM005</t>
  </si>
  <si>
    <t>CM006</t>
  </si>
  <si>
    <t>CM007</t>
  </si>
  <si>
    <t>CM008</t>
  </si>
  <si>
    <t>CM009</t>
  </si>
  <si>
    <t>CM010</t>
  </si>
  <si>
    <t>CM011</t>
  </si>
  <si>
    <t>CM012</t>
  </si>
  <si>
    <t>Municipio</t>
  </si>
  <si>
    <t>Lotes planeados</t>
  </si>
  <si>
    <t>El Cerrito</t>
  </si>
  <si>
    <t>Palmira</t>
  </si>
  <si>
    <t>Ginebra</t>
  </si>
  <si>
    <t>GUÍA DE USO</t>
  </si>
  <si>
    <t>ARCHIVO DEMOSTRATIVO · DATOS SIMULADOS</t>
  </si>
  <si>
    <t>1</t>
  </si>
  <si>
    <t>En PROYECTOS registre el catálogo de proyectos y sus IDs.</t>
  </si>
  <si>
    <t>2</t>
  </si>
  <si>
    <t>En VENTAS registre cada negocio con ID único, precio y cuota inicial pactada.</t>
  </si>
  <si>
    <t>3</t>
  </si>
  <si>
    <t>En CUOTAS registre cada obligación con número, fecha y valor pactado.</t>
  </si>
  <si>
    <t>4</t>
  </si>
  <si>
    <t>En ABONOS registre CADA pago real y el número de cuota al que se aplica.</t>
  </si>
  <si>
    <t>5</t>
  </si>
  <si>
    <t>Si un pago cubre varias cuotas, divídalo en varios registros de ABONOS con referencias compartidas.</t>
  </si>
  <si>
    <t>6</t>
  </si>
  <si>
    <t>El valor de cuota inicial pactada NO suma como recaudo hasta registrarse en ABONOS.</t>
  </si>
  <si>
    <t>7</t>
  </si>
  <si>
    <t>En COMISIONES registre el porcentaje y en PAGOS_COMISION los pagos efectuados.</t>
  </si>
  <si>
    <t>8</t>
  </si>
  <si>
    <t>En ESTADO_CUENTA cambie la celda B4 por un ID de venta para consultar el cliente.</t>
  </si>
  <si>
    <t>9</t>
  </si>
  <si>
    <t>El TABLERO resume cartera, recaudo y comisiones. Las fórmulas se actualizan en Excel.</t>
  </si>
  <si>
    <t>10</t>
  </si>
  <si>
    <t>El estado de mora se determina con la fecha actual del equipo.</t>
  </si>
  <si>
    <t>NOTA</t>
  </si>
  <si>
    <t>Los datos son ficticios y solo sirven como ejemplo. Reemplácelos antes de usar el archivo.</t>
  </si>
  <si>
    <t>CAPACIDAD</t>
  </si>
  <si>
    <t>Las fórmulas están preparadas hasta la fila 200 (220 en abonos y cuotas).</t>
  </si>
  <si>
    <t>IMPORTANTE</t>
  </si>
  <si>
    <t>Los abonos se aplican a cuotas por ID venta y número de cuota; evite duplicar registros.</t>
  </si>
  <si>
    <t>Efectivo</t>
  </si>
  <si>
    <t>Banco</t>
  </si>
  <si>
    <t>Bancolombia</t>
  </si>
  <si>
    <t>V013</t>
  </si>
  <si>
    <t>V014</t>
  </si>
  <si>
    <t>V015</t>
  </si>
  <si>
    <t>V016</t>
  </si>
  <si>
    <t>V017</t>
  </si>
  <si>
    <t>V018</t>
  </si>
  <si>
    <t>V019</t>
  </si>
  <si>
    <t>L-005</t>
  </si>
  <si>
    <t>L-006</t>
  </si>
  <si>
    <t>L-007</t>
  </si>
  <si>
    <t>L-008</t>
  </si>
  <si>
    <t>L-009</t>
  </si>
  <si>
    <t>L-010</t>
  </si>
  <si>
    <t>L-011</t>
  </si>
  <si>
    <t>L-012</t>
  </si>
  <si>
    <t>Ama</t>
  </si>
  <si>
    <t>A0043</t>
  </si>
  <si>
    <t>L-013</t>
  </si>
  <si>
    <t>L-014</t>
  </si>
  <si>
    <t>L-015</t>
  </si>
  <si>
    <t>L-016</t>
  </si>
  <si>
    <t>L-017</t>
  </si>
  <si>
    <t>L-018</t>
  </si>
  <si>
    <t>L-019</t>
  </si>
  <si>
    <t>L-020</t>
  </si>
  <si>
    <t>L-021</t>
  </si>
  <si>
    <t>L-022</t>
  </si>
  <si>
    <t>L-023</t>
  </si>
  <si>
    <t>L-024</t>
  </si>
  <si>
    <t>L-025</t>
  </si>
  <si>
    <t>L-026</t>
  </si>
  <si>
    <t>L-027</t>
  </si>
  <si>
    <t>L-028</t>
  </si>
  <si>
    <t>L-029</t>
  </si>
  <si>
    <t>L-030</t>
  </si>
  <si>
    <t>L-031</t>
  </si>
  <si>
    <t>L-032</t>
  </si>
  <si>
    <t>L-033</t>
  </si>
  <si>
    <t>L-034</t>
  </si>
  <si>
    <t>L-035</t>
  </si>
  <si>
    <t>L-036</t>
  </si>
  <si>
    <t>L-037</t>
  </si>
  <si>
    <t>L-038</t>
  </si>
  <si>
    <t>L-039</t>
  </si>
  <si>
    <t>L-040</t>
  </si>
  <si>
    <t>L-041</t>
  </si>
  <si>
    <t>L-042</t>
  </si>
  <si>
    <t>L-043</t>
  </si>
  <si>
    <t>L-044</t>
  </si>
  <si>
    <t>L-045</t>
  </si>
  <si>
    <t>L-046</t>
  </si>
  <si>
    <t>L-047</t>
  </si>
  <si>
    <t>L-048</t>
  </si>
  <si>
    <t>L-049</t>
  </si>
  <si>
    <t>L-050</t>
  </si>
  <si>
    <t>L-051</t>
  </si>
  <si>
    <t>L-052</t>
  </si>
  <si>
    <t>L-053</t>
  </si>
  <si>
    <t>L-054</t>
  </si>
  <si>
    <t>L-055</t>
  </si>
  <si>
    <t>L-056</t>
  </si>
  <si>
    <t>L-057</t>
  </si>
  <si>
    <t>L-058</t>
  </si>
  <si>
    <t>L-059</t>
  </si>
  <si>
    <t>L-060</t>
  </si>
  <si>
    <t>L-061</t>
  </si>
  <si>
    <t>L-062</t>
  </si>
  <si>
    <t>L-063</t>
  </si>
  <si>
    <t>L-064</t>
  </si>
  <si>
    <t>L-065</t>
  </si>
  <si>
    <t>L-066</t>
  </si>
  <si>
    <t>L-067</t>
  </si>
  <si>
    <t>L-068</t>
  </si>
  <si>
    <t>L-069</t>
  </si>
  <si>
    <t>L-070</t>
  </si>
  <si>
    <t>L-071</t>
  </si>
  <si>
    <t>L-072</t>
  </si>
  <si>
    <t>L-073</t>
  </si>
  <si>
    <t>L-074</t>
  </si>
  <si>
    <t>L-075</t>
  </si>
  <si>
    <t>L-076</t>
  </si>
  <si>
    <t>L-077</t>
  </si>
  <si>
    <t>L-078</t>
  </si>
  <si>
    <t>L-079</t>
  </si>
  <si>
    <t>L-080</t>
  </si>
  <si>
    <t>L-081</t>
  </si>
  <si>
    <t>L-082</t>
  </si>
  <si>
    <t>L-083</t>
  </si>
  <si>
    <t>L-084</t>
  </si>
  <si>
    <t>L-085</t>
  </si>
  <si>
    <t>L-086</t>
  </si>
  <si>
    <t>L-087</t>
  </si>
  <si>
    <t>L-088</t>
  </si>
  <si>
    <t>L-089</t>
  </si>
  <si>
    <t>L-090</t>
  </si>
  <si>
    <t>L-091</t>
  </si>
  <si>
    <t>L-092</t>
  </si>
  <si>
    <t>L-093</t>
  </si>
  <si>
    <t>L-094</t>
  </si>
  <si>
    <t>L-095</t>
  </si>
  <si>
    <t>L-096</t>
  </si>
  <si>
    <t>L-097</t>
  </si>
  <si>
    <t>L-098</t>
  </si>
  <si>
    <t>L-099</t>
  </si>
  <si>
    <t>V020</t>
  </si>
  <si>
    <t>V021</t>
  </si>
  <si>
    <t>V022</t>
  </si>
  <si>
    <t>V023</t>
  </si>
  <si>
    <t>V024</t>
  </si>
  <si>
    <t>V025</t>
  </si>
  <si>
    <t>V026</t>
  </si>
  <si>
    <t>V027</t>
  </si>
  <si>
    <t>V028</t>
  </si>
  <si>
    <t>V029</t>
  </si>
  <si>
    <t>V030</t>
  </si>
  <si>
    <t>V031</t>
  </si>
  <si>
    <t>V032</t>
  </si>
  <si>
    <t>V033</t>
  </si>
  <si>
    <t>V034</t>
  </si>
  <si>
    <t>V035</t>
  </si>
  <si>
    <t>V036</t>
  </si>
  <si>
    <t>V037</t>
  </si>
  <si>
    <t>V038</t>
  </si>
  <si>
    <t>V039</t>
  </si>
  <si>
    <t>V040</t>
  </si>
  <si>
    <t>V041</t>
  </si>
  <si>
    <t>V042</t>
  </si>
  <si>
    <t>V043</t>
  </si>
  <si>
    <t>V044</t>
  </si>
  <si>
    <t>V045</t>
  </si>
  <si>
    <t>V046</t>
  </si>
  <si>
    <t>V047</t>
  </si>
  <si>
    <t>V048</t>
  </si>
  <si>
    <t>V049</t>
  </si>
  <si>
    <t>V050</t>
  </si>
  <si>
    <t>V051</t>
  </si>
  <si>
    <t>V052</t>
  </si>
  <si>
    <t>V053</t>
  </si>
  <si>
    <t>V054</t>
  </si>
  <si>
    <t>V055</t>
  </si>
  <si>
    <t>V056</t>
  </si>
  <si>
    <t>V057</t>
  </si>
  <si>
    <t>V058</t>
  </si>
  <si>
    <t>V059</t>
  </si>
  <si>
    <t>V060</t>
  </si>
  <si>
    <t>V061</t>
  </si>
  <si>
    <t>V062</t>
  </si>
  <si>
    <t>V063</t>
  </si>
  <si>
    <t>V064</t>
  </si>
  <si>
    <t>V065</t>
  </si>
  <si>
    <t>V066</t>
  </si>
  <si>
    <t>V067</t>
  </si>
  <si>
    <t>V068</t>
  </si>
  <si>
    <t>V069</t>
  </si>
  <si>
    <t>V070</t>
  </si>
  <si>
    <t>V071</t>
  </si>
  <si>
    <t>V072</t>
  </si>
  <si>
    <t>V073</t>
  </si>
  <si>
    <t>V074</t>
  </si>
  <si>
    <t>V075</t>
  </si>
  <si>
    <t>V076</t>
  </si>
  <si>
    <t>V077</t>
  </si>
  <si>
    <t>V078</t>
  </si>
  <si>
    <t>V079</t>
  </si>
  <si>
    <t>V080</t>
  </si>
  <si>
    <t>V081</t>
  </si>
  <si>
    <t>V082</t>
  </si>
  <si>
    <t>V083</t>
  </si>
  <si>
    <t>V084</t>
  </si>
  <si>
    <t>V085</t>
  </si>
  <si>
    <t>V086</t>
  </si>
  <si>
    <t>V087</t>
  </si>
  <si>
    <t>V088</t>
  </si>
  <si>
    <t>V089</t>
  </si>
  <si>
    <t>V090</t>
  </si>
  <si>
    <t>V091</t>
  </si>
  <si>
    <t>V092</t>
  </si>
  <si>
    <t>V093</t>
  </si>
  <si>
    <t>V094</t>
  </si>
  <si>
    <t>V095</t>
  </si>
  <si>
    <t>V096</t>
  </si>
  <si>
    <t>V097</t>
  </si>
  <si>
    <t>V098</t>
  </si>
  <si>
    <t>V099</t>
  </si>
  <si>
    <t>Ba</t>
  </si>
  <si>
    <t>Davivienda</t>
  </si>
  <si>
    <t>metodos</t>
  </si>
  <si>
    <t>Consignacion</t>
  </si>
  <si>
    <t>CM013</t>
  </si>
  <si>
    <t>Fecha_comision</t>
  </si>
  <si>
    <t>Metodo_pago</t>
  </si>
  <si>
    <t>A0044</t>
  </si>
  <si>
    <t>MARIANITA DE JESUS SANCHEZ NAVIA</t>
  </si>
  <si>
    <t>Crisanz812@gmail.com</t>
  </si>
  <si>
    <t xml:space="preserve">Cra 108 #60 A 26 Cali </t>
  </si>
  <si>
    <t>Consignación</t>
  </si>
  <si>
    <t>DAVIVIENDA</t>
  </si>
  <si>
    <t xml:space="preserve">MARIA ISABEL SALAMANCA </t>
  </si>
  <si>
    <t xml:space="preserve">JUAN JOSE RAMIREZ SALAZAR </t>
  </si>
  <si>
    <t>JAVIER GARCIA</t>
  </si>
  <si>
    <t>yavierhjg@hotmail.com</t>
  </si>
  <si>
    <t>Calle 5 #3-73 Santa Elena</t>
  </si>
  <si>
    <t>SANTIAGO CORREA CAMPAÑA</t>
  </si>
  <si>
    <t>sacorreaca@unal.edu.co</t>
  </si>
  <si>
    <t>Calle 8 #12-26 Pradera</t>
  </si>
  <si>
    <t xml:space="preserve">Observación </t>
  </si>
  <si>
    <t>No tiene promesa</t>
  </si>
  <si>
    <t>DANIELA GUTIERREZ</t>
  </si>
  <si>
    <t>linethdanielagv@hotmail.com</t>
  </si>
  <si>
    <t>Calle 6 #2-06 Amaime</t>
  </si>
  <si>
    <t xml:space="preserve">PABLO PEREZ ROSERO </t>
  </si>
  <si>
    <t xml:space="preserve">MANUEL BURBANO </t>
  </si>
  <si>
    <t xml:space="preserve">HAROL JAIME PEREZ ROSERO </t>
  </si>
  <si>
    <t>CLAUDIA FERNANDA INSUASTY ARCOS</t>
  </si>
  <si>
    <t>Claudiaarcos369@gmail.com</t>
  </si>
  <si>
    <t>CL 30 #30-77</t>
  </si>
  <si>
    <t>MAYRINSABEL PAEZ HERNANDEZ</t>
  </si>
  <si>
    <t>isabel.pez@gmail.com</t>
  </si>
  <si>
    <t>Kr 1 #66-42 Cali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</si>
</sst>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"/>
    <numFmt numFmtId="165" formatCode="&quot;$&quot;\ #,##0;[Red]\(&quot;$&quot;\ #,##0\)"/>
    <numFmt numFmtId="166" formatCode="0.0%"/>
  </numFmts>
  <fonts count="9">
    <font>
      <sz val="11"/>
      <name val="Carlito"/>
    </font>
    <font>
      <b/>
      <sz val="11"/>
      <color rgb="FFFFFFFF"/>
      <name val="Carlito"/>
    </font>
    <font>
      <b/>
      <sz val="17"/>
      <color rgb="FFFFFFFF"/>
      <name val="Carlito"/>
    </font>
    <font>
      <b/>
      <sz val="11"/>
      <color rgb="FF16324F"/>
      <name val="Carlito"/>
    </font>
    <font>
      <sz val="11"/>
      <name val="Carlito"/>
    </font>
    <font>
      <sz val="8"/>
      <name val="Carlito"/>
    </font>
    <font>
      <u/>
      <sz val="11"/>
      <color theme="10"/>
      <name val="Carlito"/>
    </font>
    <font>
      <sz val="11"/>
      <color theme="0"/>
      <name val="Carlito"/>
    </font>
    <font>
      <b/>
      <sz val="9"/>
      <name val="Carlito"/>
    </font>
  </fonts>
  <fills count="9">
    <fill>
      <patternFill patternType="none"/>
    </fill>
    <fill>
      <patternFill patternType="gray125"/>
    </fill>
    <fill>
      <patternFill patternType="solid">
        <fgColor rgb="FF16324F"/>
      </patternFill>
    </fill>
    <fill>
      <patternFill patternType="solid">
        <fgColor rgb="FFFFF2D9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4" fillId="0" borderId="1"/>
    <xf numFmtId="0" fontId="4" fillId="0" borderId="1"/>
    <xf numFmtId="0" fontId="6" fillId="0" borderId="0" applyNumberFormat="0" applyFill="0" applyBorder="0" applyAlignment="0" applyProtection="0"/>
  </cellStyleXfs>
  <cellXfs count="67">
    <xf numFmtId="0" fontId="0" fillId="0" borderId="0" xfId="0"/>
    <xf numFmtId="0" fontId="0" fillId="0" borderId="1" xfId="0" applyBorder="1"/>
    <xf numFmtId="0" fontId="1" fillId="2" borderId="0" xfId="0" applyFont="1" applyFill="1"/>
    <xf numFmtId="0" fontId="1" fillId="2" borderId="0" xfId="0" applyFont="1" applyFill="1" applyAlignment="1">
      <alignment vertical="center"/>
    </xf>
    <xf numFmtId="164" fontId="0" fillId="0" borderId="0" xfId="0" applyNumberFormat="1"/>
    <xf numFmtId="164" fontId="0" fillId="0" borderId="1" xfId="0" applyNumberFormat="1" applyBorder="1"/>
    <xf numFmtId="165" fontId="0" fillId="0" borderId="0" xfId="0" applyNumberFormat="1"/>
    <xf numFmtId="165" fontId="0" fillId="0" borderId="1" xfId="0" applyNumberFormat="1" applyBorder="1"/>
    <xf numFmtId="166" fontId="0" fillId="0" borderId="0" xfId="0" applyNumberFormat="1"/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  <xf numFmtId="0" fontId="4" fillId="0" borderId="1" xfId="2"/>
    <xf numFmtId="1" fontId="4" fillId="0" borderId="1" xfId="2" applyNumberFormat="1"/>
    <xf numFmtId="0" fontId="4" fillId="0" borderId="2" xfId="2" applyBorder="1"/>
    <xf numFmtId="1" fontId="4" fillId="0" borderId="2" xfId="2" applyNumberFormat="1" applyBorder="1"/>
    <xf numFmtId="0" fontId="6" fillId="0" borderId="0" xfId="3"/>
    <xf numFmtId="14" fontId="0" fillId="0" borderId="0" xfId="0" applyNumberFormat="1"/>
    <xf numFmtId="0" fontId="2" fillId="7" borderId="0" xfId="0" applyFont="1" applyFill="1" applyAlignment="1">
      <alignment vertical="center"/>
    </xf>
    <xf numFmtId="0" fontId="0" fillId="0" borderId="3" xfId="0" applyBorder="1"/>
    <xf numFmtId="165" fontId="0" fillId="0" borderId="3" xfId="0" applyNumberFormat="1" applyBorder="1"/>
    <xf numFmtId="165" fontId="0" fillId="0" borderId="5" xfId="0" applyNumberFormat="1" applyBorder="1"/>
    <xf numFmtId="0" fontId="0" fillId="0" borderId="6" xfId="0" applyBorder="1"/>
    <xf numFmtId="165" fontId="0" fillId="0" borderId="7" xfId="0" applyNumberFormat="1" applyBorder="1"/>
    <xf numFmtId="166" fontId="0" fillId="0" borderId="7" xfId="0" applyNumberFormat="1" applyBorder="1"/>
    <xf numFmtId="0" fontId="0" fillId="0" borderId="8" xfId="0" applyBorder="1"/>
    <xf numFmtId="165" fontId="0" fillId="0" borderId="9" xfId="0" applyNumberFormat="1" applyBorder="1"/>
    <xf numFmtId="0" fontId="7" fillId="4" borderId="4" xfId="0" applyFont="1" applyFill="1" applyBorder="1"/>
    <xf numFmtId="0" fontId="7" fillId="4" borderId="6" xfId="0" applyFont="1" applyFill="1" applyBorder="1"/>
    <xf numFmtId="0" fontId="7" fillId="4" borderId="8" xfId="0" applyFont="1" applyFill="1" applyBorder="1"/>
    <xf numFmtId="164" fontId="0" fillId="0" borderId="3" xfId="0" applyNumberFormat="1" applyBorder="1"/>
    <xf numFmtId="0" fontId="0" fillId="0" borderId="10" xfId="0" applyBorder="1"/>
    <xf numFmtId="0" fontId="0" fillId="0" borderId="13" xfId="0" applyBorder="1"/>
    <xf numFmtId="0" fontId="2" fillId="7" borderId="14" xfId="0" applyFont="1" applyFill="1" applyBorder="1" applyAlignment="1">
      <alignment vertical="center"/>
    </xf>
    <xf numFmtId="0" fontId="0" fillId="0" borderId="14" xfId="0" applyBorder="1"/>
    <xf numFmtId="0" fontId="0" fillId="0" borderId="15" xfId="0" applyBorder="1"/>
    <xf numFmtId="0" fontId="0" fillId="0" borderId="16" xfId="0" applyBorder="1"/>
    <xf numFmtId="164" fontId="0" fillId="0" borderId="16" xfId="0" applyNumberFormat="1" applyBorder="1"/>
    <xf numFmtId="165" fontId="0" fillId="0" borderId="16" xfId="0" applyNumberFormat="1" applyBorder="1"/>
    <xf numFmtId="0" fontId="0" fillId="0" borderId="17" xfId="0" applyBorder="1"/>
    <xf numFmtId="0" fontId="0" fillId="0" borderId="11" xfId="0" applyBorder="1"/>
    <xf numFmtId="0" fontId="0" fillId="0" borderId="12" xfId="0" applyBorder="1"/>
    <xf numFmtId="0" fontId="1" fillId="6" borderId="4" xfId="0" applyFont="1" applyFill="1" applyBorder="1"/>
    <xf numFmtId="0" fontId="1" fillId="6" borderId="18" xfId="0" applyFont="1" applyFill="1" applyBorder="1"/>
    <xf numFmtId="0" fontId="1" fillId="6" borderId="5" xfId="0" applyFont="1" applyFill="1" applyBorder="1"/>
    <xf numFmtId="0" fontId="0" fillId="0" borderId="7" xfId="0" applyBorder="1"/>
    <xf numFmtId="164" fontId="0" fillId="0" borderId="19" xfId="0" applyNumberFormat="1" applyBorder="1"/>
    <xf numFmtId="165" fontId="0" fillId="0" borderId="19" xfId="0" applyNumberFormat="1" applyBorder="1"/>
    <xf numFmtId="0" fontId="0" fillId="0" borderId="19" xfId="0" applyBorder="1"/>
    <xf numFmtId="0" fontId="0" fillId="0" borderId="9" xfId="0" applyBorder="1"/>
    <xf numFmtId="0" fontId="7" fillId="4" borderId="4" xfId="0" applyFont="1" applyFill="1" applyBorder="1" applyAlignment="1">
      <alignment horizontal="left" vertical="center"/>
    </xf>
    <xf numFmtId="0" fontId="7" fillId="4" borderId="6" xfId="0" applyFont="1" applyFill="1" applyBorder="1" applyAlignment="1">
      <alignment horizontal="left" vertical="center"/>
    </xf>
    <xf numFmtId="0" fontId="0" fillId="0" borderId="7" xfId="0" applyBorder="1" applyAlignment="1">
      <alignment horizontal="center" vertical="center"/>
    </xf>
    <xf numFmtId="0" fontId="7" fillId="4" borderId="8" xfId="0" applyFont="1" applyFill="1" applyBorder="1" applyAlignment="1">
      <alignment horizontal="left" vertical="center"/>
    </xf>
    <xf numFmtId="164" fontId="0" fillId="0" borderId="9" xfId="0" applyNumberFormat="1" applyBorder="1" applyAlignment="1">
      <alignment horizontal="center" vertical="center"/>
    </xf>
    <xf numFmtId="0" fontId="0" fillId="0" borderId="20" xfId="0" applyBorder="1"/>
    <xf numFmtId="0" fontId="3" fillId="3" borderId="21" xfId="0" applyFont="1" applyFill="1" applyBorder="1"/>
    <xf numFmtId="0" fontId="1" fillId="5" borderId="3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4" fillId="0" borderId="1" xfId="2" applyAlignment="1">
      <alignment horizontal="center"/>
    </xf>
    <xf numFmtId="0" fontId="8" fillId="0" borderId="5" xfId="0" applyFont="1" applyBorder="1" applyAlignment="1">
      <alignment horizontal="center" vertical="center"/>
    </xf>
    <xf numFmtId="0" fontId="0" fillId="8" borderId="0" xfId="0" applyFill="1"/>
    <xf numFmtId="0" fontId="4" fillId="8" borderId="1" xfId="2" applyFill="1"/>
    <xf numFmtId="1" fontId="4" fillId="8" borderId="1" xfId="2" applyNumberFormat="1" applyFill="1"/>
    <xf numFmtId="164" fontId="0" fillId="8" borderId="0" xfId="0" applyNumberFormat="1" applyFill="1"/>
    <xf numFmtId="165" fontId="0" fillId="8" borderId="0" xfId="0" applyNumberFormat="1" applyFill="1"/>
    <xf numFmtId="166" fontId="0" fillId="8" borderId="0" xfId="0" applyNumberFormat="1" applyFill="1"/>
    <xf numFmtId="0" fontId="2" fillId="4" borderId="1" xfId="0" applyFont="1" applyFill="1" applyBorder="1" applyAlignment="1">
      <alignment horizontal="center" vertical="center"/>
    </xf>
  </cellXfs>
  <cellStyles count="4">
    <cellStyle name="Hipervínculo" xfId="3" builtinId="8"/>
    <cellStyle name="Normal" xfId="0" builtinId="0"/>
    <cellStyle name="Normal 2" xfId="1" xr:uid="{98D9D85E-981A-425E-B603-3842B5CB1AB8}"/>
    <cellStyle name="Normal 3" xfId="2" xr:uid="{BE0EA1D0-860A-446D-A3B4-D34FA310A0B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301994</xdr:colOff>
      <xdr:row>1</xdr:row>
      <xdr:rowOff>114301</xdr:rowOff>
    </xdr:from>
    <xdr:to>
      <xdr:col>7</xdr:col>
      <xdr:colOff>12256</xdr:colOff>
      <xdr:row>4</xdr:row>
      <xdr:rowOff>144780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2CCA70FE-9C26-FF66-0E37-0B6F8C49237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14" b="24063"/>
        <a:stretch>
          <a:fillRect/>
        </a:stretch>
      </xdr:blipFill>
      <xdr:spPr>
        <a:xfrm>
          <a:off x="8653514" y="297181"/>
          <a:ext cx="1462862" cy="7238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linethdanielagv@hotmail.com" TargetMode="External"/><Relationship Id="rId13" Type="http://schemas.openxmlformats.org/officeDocument/2006/relationships/hyperlink" Target="mailto:isabel.pez@gmail.com" TargetMode="External"/><Relationship Id="rId3" Type="http://schemas.openxmlformats.org/officeDocument/2006/relationships/hyperlink" Target="mailto:yavierhjg@hotmail.com" TargetMode="External"/><Relationship Id="rId7" Type="http://schemas.openxmlformats.org/officeDocument/2006/relationships/hyperlink" Target="mailto:linethdanielagv@hotmail.com" TargetMode="External"/><Relationship Id="rId12" Type="http://schemas.openxmlformats.org/officeDocument/2006/relationships/hyperlink" Target="mailto:Claudiaarcos369@gmail.com" TargetMode="External"/><Relationship Id="rId2" Type="http://schemas.openxmlformats.org/officeDocument/2006/relationships/hyperlink" Target="mailto:yavierhjg@hotmail.com" TargetMode="External"/><Relationship Id="rId1" Type="http://schemas.openxmlformats.org/officeDocument/2006/relationships/hyperlink" Target="mailto:Crisanz812@gmail.com" TargetMode="External"/><Relationship Id="rId6" Type="http://schemas.openxmlformats.org/officeDocument/2006/relationships/hyperlink" Target="mailto:sacorreaca@unal.edu.co" TargetMode="External"/><Relationship Id="rId11" Type="http://schemas.openxmlformats.org/officeDocument/2006/relationships/hyperlink" Target="mailto:Claudiaarcos369@gmail.com" TargetMode="External"/><Relationship Id="rId5" Type="http://schemas.openxmlformats.org/officeDocument/2006/relationships/hyperlink" Target="mailto:sacorreaca@unal.edu.co" TargetMode="External"/><Relationship Id="rId10" Type="http://schemas.openxmlformats.org/officeDocument/2006/relationships/hyperlink" Target="mailto:Claudiaarcos369@gmail.com" TargetMode="External"/><Relationship Id="rId4" Type="http://schemas.openxmlformats.org/officeDocument/2006/relationships/hyperlink" Target="mailto:yavierhjg@hotmail.com" TargetMode="External"/><Relationship Id="rId9" Type="http://schemas.openxmlformats.org/officeDocument/2006/relationships/hyperlink" Target="mailto:Claudiaarcos369@gmail.com" TargetMode="External"/><Relationship Id="rId14" Type="http://schemas.openxmlformats.org/officeDocument/2006/relationships/hyperlink" Target="mailto:isabel.pez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J27"/>
  <sheetViews>
    <sheetView showGridLines="0" workbookViewId="0">
      <selection activeCell="D6" sqref="D6"/>
    </sheetView>
  </sheetViews>
  <sheetFormatPr baseColWidth="10" defaultColWidth="8.796875" defaultRowHeight="13.8"/>
  <cols>
    <col min="3" max="3" width="22" customWidth="1"/>
    <col min="4" max="4" width="29.296875" customWidth="1"/>
    <col min="5" max="5" width="21" customWidth="1"/>
    <col min="6" max="6" width="24" customWidth="1"/>
    <col min="7" max="7" width="23" customWidth="1"/>
    <col min="8" max="8" width="10.09765625" customWidth="1"/>
    <col min="9" max="9" width="16" customWidth="1"/>
    <col min="10" max="10" width="14" customWidth="1"/>
  </cols>
  <sheetData>
    <row r="1" spans="2:10" ht="14.4" thickBot="1"/>
    <row r="2" spans="2:10">
      <c r="B2" s="30"/>
      <c r="C2" s="39"/>
      <c r="D2" s="39"/>
      <c r="E2" s="39"/>
      <c r="F2" s="39"/>
      <c r="G2" s="39"/>
      <c r="H2" s="40"/>
    </row>
    <row r="3" spans="2:10" ht="20.85" customHeight="1">
      <c r="B3" s="31"/>
      <c r="C3" s="66" t="s">
        <v>4</v>
      </c>
      <c r="D3" s="66"/>
      <c r="E3" s="66"/>
      <c r="F3" s="66"/>
      <c r="G3" s="66"/>
      <c r="H3" s="32"/>
      <c r="I3" s="17"/>
      <c r="J3" s="17"/>
    </row>
    <row r="4" spans="2:10" ht="20.85" customHeight="1">
      <c r="B4" s="31"/>
      <c r="C4" s="66"/>
      <c r="D4" s="66"/>
      <c r="E4" s="66"/>
      <c r="F4" s="66"/>
      <c r="G4" s="66"/>
      <c r="H4" s="32"/>
      <c r="I4" s="17"/>
      <c r="J4" s="17"/>
    </row>
    <row r="5" spans="2:10" ht="14.4" thickBot="1">
      <c r="B5" s="31"/>
      <c r="C5" s="1"/>
      <c r="D5" s="1"/>
      <c r="E5" s="1"/>
      <c r="F5" s="1"/>
      <c r="G5" s="1"/>
      <c r="H5" s="33"/>
    </row>
    <row r="6" spans="2:10" ht="14.4" thickBot="1">
      <c r="B6" s="31"/>
      <c r="C6" s="54" t="s">
        <v>5</v>
      </c>
      <c r="D6" s="55" t="s">
        <v>45</v>
      </c>
      <c r="E6" s="1"/>
      <c r="F6" s="1"/>
      <c r="G6" s="1"/>
      <c r="H6" s="33"/>
    </row>
    <row r="7" spans="2:10" ht="14.4" thickBot="1">
      <c r="B7" s="31"/>
      <c r="C7" s="1"/>
      <c r="D7" s="1"/>
      <c r="E7" s="1"/>
      <c r="F7" s="1"/>
      <c r="G7" s="1"/>
      <c r="H7" s="33"/>
    </row>
    <row r="8" spans="2:10">
      <c r="B8" s="31"/>
      <c r="C8" s="49" t="s">
        <v>7</v>
      </c>
      <c r="D8" s="59">
        <f>IFERROR(INDEX(VENTAS!$E$2:$E$100,MATCH($D$6,VENTAS!$A$2:$A$100,0)),"")</f>
        <v>0</v>
      </c>
      <c r="E8" s="1"/>
      <c r="F8" s="26" t="s">
        <v>8</v>
      </c>
      <c r="G8" s="20">
        <f>IFERROR(INDEX(VENTAS!$K$2:$K$100,MATCH($D$6,VENTAS!$A$2:$A$100,0)),0)</f>
        <v>0</v>
      </c>
      <c r="H8" s="33"/>
    </row>
    <row r="9" spans="2:10">
      <c r="B9" s="31"/>
      <c r="C9" s="50" t="s">
        <v>0</v>
      </c>
      <c r="D9" s="51" t="str">
        <f>IFERROR(INDEX(PROYECTOS!$B$2:$B$100,MATCH(INDEX(VENTAS!$B$2:$B$100,MATCH($D$6,VENTAS!$A$2:$A$100,0)),PROYECTOS!$A$2:$A$100,0)),"")</f>
        <v>Amaranta</v>
      </c>
      <c r="E9" s="1"/>
      <c r="F9" s="27" t="s">
        <v>9</v>
      </c>
      <c r="G9" s="22">
        <f>SUMIF(ABONOS!$B$2:$B$220,$D$6,ABONOS!$E$2:$E$220)</f>
        <v>0</v>
      </c>
      <c r="H9" s="33"/>
    </row>
    <row r="10" spans="2:10">
      <c r="B10" s="31"/>
      <c r="C10" s="50" t="s">
        <v>10</v>
      </c>
      <c r="D10" s="51" t="str">
        <f>IFERROR(INDEX(VENTAS!$C$2:$C$100,MATCH($D$6,VENTAS!$A$2:$A$100,0)),"")</f>
        <v>L-010</v>
      </c>
      <c r="E10" s="1"/>
      <c r="F10" s="27" t="s">
        <v>11</v>
      </c>
      <c r="G10" s="22">
        <f>G8-G9</f>
        <v>0</v>
      </c>
      <c r="H10" s="33"/>
    </row>
    <row r="11" spans="2:10">
      <c r="B11" s="31"/>
      <c r="C11" s="50" t="s">
        <v>12</v>
      </c>
      <c r="D11" s="51">
        <f>IFERROR(INDEX(VENTAS!$F$2:$F$100,MATCH($D$6,VENTAS!$A$2:$A$100,0)),"")</f>
        <v>0</v>
      </c>
      <c r="E11" s="1"/>
      <c r="F11" s="27" t="s">
        <v>13</v>
      </c>
      <c r="G11" s="23">
        <f>IFERROR(G9/G8,0)</f>
        <v>0</v>
      </c>
      <c r="H11" s="33"/>
    </row>
    <row r="12" spans="2:10" ht="14.4" thickBot="1">
      <c r="B12" s="31"/>
      <c r="C12" s="52" t="s">
        <v>14</v>
      </c>
      <c r="D12" s="53">
        <f>IFERROR(INDEX(VENTAS!$J$2:$J$100,MATCH($D$6,VENTAS!$A$2:$A$100,0)),"")</f>
        <v>0</v>
      </c>
      <c r="E12" s="1"/>
      <c r="F12" s="28" t="s">
        <v>15</v>
      </c>
      <c r="G12" s="25">
        <f>IFERROR(INDEX(VENTAS!$L$2:$L$100,MATCH($D$6,VENTAS!$A$2:$A$100,0)),0)</f>
        <v>0</v>
      </c>
      <c r="H12" s="33"/>
    </row>
    <row r="13" spans="2:10">
      <c r="B13" s="31"/>
      <c r="C13" s="1"/>
      <c r="D13" s="1"/>
      <c r="E13" s="1"/>
      <c r="F13" s="1"/>
      <c r="G13" s="1"/>
      <c r="H13" s="33"/>
    </row>
    <row r="14" spans="2:10" ht="14.4" thickBot="1">
      <c r="B14" s="31"/>
      <c r="C14" s="1"/>
      <c r="D14" s="1"/>
      <c r="E14" s="1"/>
      <c r="F14" s="1"/>
      <c r="G14" s="1"/>
      <c r="H14" s="33"/>
    </row>
    <row r="15" spans="2:10">
      <c r="B15" s="31"/>
      <c r="C15" s="41" t="s">
        <v>16</v>
      </c>
      <c r="D15" s="42" t="s">
        <v>17</v>
      </c>
      <c r="E15" s="42" t="s">
        <v>18</v>
      </c>
      <c r="F15" s="42" t="s">
        <v>19</v>
      </c>
      <c r="G15" s="43" t="s">
        <v>20</v>
      </c>
      <c r="H15" s="33"/>
    </row>
    <row r="16" spans="2:10">
      <c r="B16" s="31"/>
      <c r="C16" s="21" t="str">
        <f>IFERROR(INDEX(ABONOS!$C$2:$C$220,IFERROR(_xlfn.AGGREGATE(15,6,(ROW(ABONOS!$B$2:$B$220)-ROW(ABONOS!$B$2)+1)/(ABONOS!$B$2:$B$220=$D$6),ROWS($C$16:C16)),"")),"")</f>
        <v/>
      </c>
      <c r="D16" s="29" t="str">
        <f>IF($C16="","",IFERROR(INDEX(ABONOS!$D$2:$D$220,IFERROR(_xlfn.AGGREGATE(15,6,(ROW(ABONOS!$B$2:$B$220)-ROW(ABONOS!$B$2)+1)/(ABONOS!$B$2:$B$220=$D$6),ROWS($C$16:C16)),"")),""))</f>
        <v/>
      </c>
      <c r="E16" s="19" t="str">
        <f>IF($C16="","",IFERROR(INDEX(ABONOS!$E$2:$E$220,IFERROR(_xlfn.AGGREGATE(15,6,(ROW(ABONOS!$B$2:$B$220)-ROW(ABONOS!$B$2)+1)/(ABONOS!$B$2:$B$220=$D$6),ROWS($C$16:C16)),"")),""))</f>
        <v/>
      </c>
      <c r="F16" s="18" t="str">
        <f>IF($C16="","",IFERROR(INDEX(ABONOS!$F$2:$F$220,IFERROR(_xlfn.AGGREGATE(15,6,(ROW(ABONOS!$B$2:$B$220)-ROW(ABONOS!$B$2)+1)/(ABONOS!$B$2:$B$220=$D$6),ROWS($C$16:C16)),"")),""))</f>
        <v/>
      </c>
      <c r="G16" s="44" t="str">
        <f>IF($C16="","",IFERROR(INDEX(ABONOS!$G$2:$G$220,IFERROR(_xlfn.AGGREGATE(15,6,(ROW(ABONOS!$B$2:$B$220)-ROW(ABONOS!$B$2)+1)/(ABONOS!$B$2:$B$220=$D$6),ROWS($C$16:C16)),"")),""))</f>
        <v/>
      </c>
      <c r="H16" s="33"/>
    </row>
    <row r="17" spans="2:8">
      <c r="B17" s="31"/>
      <c r="C17" s="21" t="str">
        <f>IFERROR(INDEX(ABONOS!$C$2:$C$220,IFERROR(_xlfn.AGGREGATE(15,6,(ROW(ABONOS!$B$2:$B$220)-ROW(ABONOS!$B$2)+1)/(ABONOS!$B$2:$B$220=$D$6),ROWS($C$16:C17)),"")),"")</f>
        <v/>
      </c>
      <c r="D17" s="29" t="str">
        <f>IF($C17="","",IFERROR(INDEX(ABONOS!$D$2:$D$220,IFERROR(_xlfn.AGGREGATE(15,6,(ROW(ABONOS!$B$2:$B$220)-ROW(ABONOS!$B$2)+1)/(ABONOS!$B$2:$B$220=$D$6),ROWS($C$16:C17)),"")),""))</f>
        <v/>
      </c>
      <c r="E17" s="19" t="str">
        <f>IF($C17="","",IFERROR(INDEX(ABONOS!$E$2:$E$220,IFERROR(_xlfn.AGGREGATE(15,6,(ROW(ABONOS!$B$2:$B$220)-ROW(ABONOS!$B$2)+1)/(ABONOS!$B$2:$B$220=$D$6),ROWS($C$16:C17)),"")),""))</f>
        <v/>
      </c>
      <c r="F17" s="18" t="str">
        <f>IF($C17="","",IFERROR(INDEX(ABONOS!$F$2:$F$220,IFERROR(_xlfn.AGGREGATE(15,6,(ROW(ABONOS!$B$2:$B$220)-ROW(ABONOS!$B$2)+1)/(ABONOS!$B$2:$B$220=$D$6),ROWS($C$16:C17)),"")),""))</f>
        <v/>
      </c>
      <c r="G17" s="44" t="str">
        <f>IF($C17="","",IFERROR(INDEX(ABONOS!$G$2:$G$220,IFERROR(_xlfn.AGGREGATE(15,6,(ROW(ABONOS!$B$2:$B$220)-ROW(ABONOS!$B$2)+1)/(ABONOS!$B$2:$B$220=$D$6),ROWS($C$16:C17)),"")),""))</f>
        <v/>
      </c>
      <c r="H17" s="33"/>
    </row>
    <row r="18" spans="2:8">
      <c r="B18" s="31"/>
      <c r="C18" s="21" t="str">
        <f>IFERROR(INDEX(ABONOS!$C$2:$C$220,IFERROR(_xlfn.AGGREGATE(15,6,(ROW(ABONOS!$B$2:$B$220)-ROW(ABONOS!$B$2)+1)/(ABONOS!$B$2:$B$220=$D$6),ROWS($C$16:C18)),"")),"")</f>
        <v/>
      </c>
      <c r="D18" s="29" t="str">
        <f>IF($C18="","",IFERROR(INDEX(ABONOS!$D$2:$D$220,IFERROR(_xlfn.AGGREGATE(15,6,(ROW(ABONOS!$B$2:$B$220)-ROW(ABONOS!$B$2)+1)/(ABONOS!$B$2:$B$220=$D$6),ROWS($C$16:C18)),"")),""))</f>
        <v/>
      </c>
      <c r="E18" s="19" t="str">
        <f>IF($C18="","",IFERROR(INDEX(ABONOS!$E$2:$E$220,IFERROR(_xlfn.AGGREGATE(15,6,(ROW(ABONOS!$B$2:$B$220)-ROW(ABONOS!$B$2)+1)/(ABONOS!$B$2:$B$220=$D$6),ROWS($C$16:C18)),"")),""))</f>
        <v/>
      </c>
      <c r="F18" s="18" t="str">
        <f>IF($C18="","",IFERROR(INDEX(ABONOS!$F$2:$F$220,IFERROR(_xlfn.AGGREGATE(15,6,(ROW(ABONOS!$B$2:$B$220)-ROW(ABONOS!$B$2)+1)/(ABONOS!$B$2:$B$220=$D$6),ROWS($C$16:C18)),"")),""))</f>
        <v/>
      </c>
      <c r="G18" s="44" t="str">
        <f>IF($C18="","",IFERROR(INDEX(ABONOS!$G$2:$G$220,IFERROR(_xlfn.AGGREGATE(15,6,(ROW(ABONOS!$B$2:$B$220)-ROW(ABONOS!$B$2)+1)/(ABONOS!$B$2:$B$220=$D$6),ROWS($C$16:C18)),"")),""))</f>
        <v/>
      </c>
      <c r="H18" s="33"/>
    </row>
    <row r="19" spans="2:8" ht="14.4" thickBot="1">
      <c r="B19" s="31"/>
      <c r="C19" s="24" t="str">
        <f>IFERROR(INDEX(ABONOS!$C$2:$C$220,IFERROR(_xlfn.AGGREGATE(15,6,(ROW(ABONOS!$B$2:$B$220)-ROW(ABONOS!$B$2)+1)/(ABONOS!$B$2:$B$220=$D$6),ROWS($C$16:C19)),"")),"")</f>
        <v/>
      </c>
      <c r="D19" s="45" t="str">
        <f>IF($C19="","",IFERROR(INDEX(ABONOS!$D$2:$D$220,IFERROR(_xlfn.AGGREGATE(15,6,(ROW(ABONOS!$B$2:$B$220)-ROW(ABONOS!$B$2)+1)/(ABONOS!$B$2:$B$220=$D$6),ROWS($C$16:C19)),"")),""))</f>
        <v/>
      </c>
      <c r="E19" s="46" t="str">
        <f>IF($C19="","",IFERROR(INDEX(ABONOS!$E$2:$E$220,IFERROR(_xlfn.AGGREGATE(15,6,(ROW(ABONOS!$B$2:$B$220)-ROW(ABONOS!$B$2)+1)/(ABONOS!$B$2:$B$220=$D$6),ROWS($C$16:C19)),"")),""))</f>
        <v/>
      </c>
      <c r="F19" s="47" t="str">
        <f>IF($C19="","",IFERROR(INDEX(ABONOS!$F$2:$F$220,IFERROR(_xlfn.AGGREGATE(15,6,(ROW(ABONOS!$B$2:$B$220)-ROW(ABONOS!$B$2)+1)/(ABONOS!$B$2:$B$220=$D$6),ROWS($C$16:C19)),"")),""))</f>
        <v/>
      </c>
      <c r="G19" s="48" t="str">
        <f>IF($C19="","",IFERROR(INDEX(ABONOS!$G$2:$G$220,IFERROR(_xlfn.AGGREGATE(15,6,(ROW(ABONOS!$B$2:$B$220)-ROW(ABONOS!$B$2)+1)/(ABONOS!$B$2:$B$220=$D$6),ROWS($C$16:C19)),"")),""))</f>
        <v/>
      </c>
      <c r="H19" s="33"/>
    </row>
    <row r="20" spans="2:8">
      <c r="B20" s="31"/>
      <c r="C20" s="1" t="str">
        <f>IFERROR(INDEX(ABONOS!$C$2:$C$220,IFERROR(_xlfn.AGGREGATE(15,6,(ROW(ABONOS!$B$2:$B$220)-ROW(ABONOS!$B$2)+1)/(ABONOS!$B$2:$B$220=$D$6),ROWS($C$16:C20)),"")),"")</f>
        <v/>
      </c>
      <c r="D20" s="5" t="str">
        <f>IF($C20="","",IFERROR(INDEX(ABONOS!$D$2:$D$220,IFERROR(_xlfn.AGGREGATE(15,6,(ROW(ABONOS!$B$2:$B$220)-ROW(ABONOS!$B$2)+1)/(ABONOS!$B$2:$B$220=$D$6),ROWS($C$16:C20)),"")),""))</f>
        <v/>
      </c>
      <c r="E20" s="7" t="str">
        <f>IF($C20="","",IFERROR(INDEX(ABONOS!$E$2:$E$220,IFERROR(_xlfn.AGGREGATE(15,6,(ROW(ABONOS!$B$2:$B$220)-ROW(ABONOS!$B$2)+1)/(ABONOS!$B$2:$B$220=$D$6),ROWS($C$16:C20)),"")),""))</f>
        <v/>
      </c>
      <c r="F20" s="1" t="str">
        <f>IF($C20="","",IFERROR(INDEX(ABONOS!$F$2:$F$220,IFERROR(_xlfn.AGGREGATE(15,6,(ROW(ABONOS!$B$2:$B$220)-ROW(ABONOS!$B$2)+1)/(ABONOS!$B$2:$B$220=$D$6),ROWS($C$16:C20)),"")),""))</f>
        <v/>
      </c>
      <c r="G20" s="1" t="str">
        <f>IF($C20="","",IFERROR(INDEX(ABONOS!$G$2:$G$220,IFERROR(_xlfn.AGGREGATE(15,6,(ROW(ABONOS!$B$2:$B$220)-ROW(ABONOS!$B$2)+1)/(ABONOS!$B$2:$B$220=$D$6),ROWS($C$16:C20)),"")),""))</f>
        <v/>
      </c>
      <c r="H20" s="33"/>
    </row>
    <row r="21" spans="2:8">
      <c r="B21" s="31"/>
      <c r="C21" s="1" t="str">
        <f>IFERROR(INDEX(ABONOS!$C$2:$C$220,IFERROR(_xlfn.AGGREGATE(15,6,(ROW(ABONOS!$B$2:$B$220)-ROW(ABONOS!$B$2)+1)/(ABONOS!$B$2:$B$220=$D$6),ROWS($C$16:C21)),"")),"")</f>
        <v/>
      </c>
      <c r="D21" s="5" t="str">
        <f>IF($C21="","",IFERROR(INDEX(ABONOS!$D$2:$D$220,IFERROR(_xlfn.AGGREGATE(15,6,(ROW(ABONOS!$B$2:$B$220)-ROW(ABONOS!$B$2)+1)/(ABONOS!$B$2:$B$220=$D$6),ROWS($C$16:C21)),"")),""))</f>
        <v/>
      </c>
      <c r="E21" s="7" t="str">
        <f>IF($C21="","",IFERROR(INDEX(ABONOS!$E$2:$E$220,IFERROR(_xlfn.AGGREGATE(15,6,(ROW(ABONOS!$B$2:$B$220)-ROW(ABONOS!$B$2)+1)/(ABONOS!$B$2:$B$220=$D$6),ROWS($C$16:C21)),"")),""))</f>
        <v/>
      </c>
      <c r="F21" s="1" t="str">
        <f>IF($C21="","",IFERROR(INDEX(ABONOS!$F$2:$F$220,IFERROR(_xlfn.AGGREGATE(15,6,(ROW(ABONOS!$B$2:$B$220)-ROW(ABONOS!$B$2)+1)/(ABONOS!$B$2:$B$220=$D$6),ROWS($C$16:C21)),"")),""))</f>
        <v/>
      </c>
      <c r="G21" s="1" t="str">
        <f>IF($C21="","",IFERROR(INDEX(ABONOS!$G$2:$G$220,IFERROR(_xlfn.AGGREGATE(15,6,(ROW(ABONOS!$B$2:$B$220)-ROW(ABONOS!$B$2)+1)/(ABONOS!$B$2:$B$220=$D$6),ROWS($C$16:C21)),"")),""))</f>
        <v/>
      </c>
      <c r="H21" s="33"/>
    </row>
    <row r="22" spans="2:8">
      <c r="B22" s="31"/>
      <c r="C22" s="1" t="str">
        <f>IFERROR(INDEX(ABONOS!$C$2:$C$220,IFERROR(_xlfn.AGGREGATE(15,6,(ROW(ABONOS!$B$2:$B$220)-ROW(ABONOS!$B$2)+1)/(ABONOS!$B$2:$B$220=$D$6),ROWS($C$16:C22)),"")),"")</f>
        <v/>
      </c>
      <c r="D22" s="5" t="str">
        <f>IF($C22="","",IFERROR(INDEX(ABONOS!$D$2:$D$220,IFERROR(_xlfn.AGGREGATE(15,6,(ROW(ABONOS!$B$2:$B$220)-ROW(ABONOS!$B$2)+1)/(ABONOS!$B$2:$B$220=$D$6),ROWS($C$16:C22)),"")),""))</f>
        <v/>
      </c>
      <c r="E22" s="7" t="str">
        <f>IF($C22="","",IFERROR(INDEX(ABONOS!$E$2:$E$220,IFERROR(_xlfn.AGGREGATE(15,6,(ROW(ABONOS!$B$2:$B$220)-ROW(ABONOS!$B$2)+1)/(ABONOS!$B$2:$B$220=$D$6),ROWS($C$16:C22)),"")),""))</f>
        <v/>
      </c>
      <c r="F22" s="1" t="str">
        <f>IF($C22="","",IFERROR(INDEX(ABONOS!$F$2:$F$220,IFERROR(_xlfn.AGGREGATE(15,6,(ROW(ABONOS!$B$2:$B$220)-ROW(ABONOS!$B$2)+1)/(ABONOS!$B$2:$B$220=$D$6),ROWS($C$16:C22)),"")),""))</f>
        <v/>
      </c>
      <c r="G22" s="1" t="str">
        <f>IF($C22="","",IFERROR(INDEX(ABONOS!$G$2:$G$220,IFERROR(_xlfn.AGGREGATE(15,6,(ROW(ABONOS!$B$2:$B$220)-ROW(ABONOS!$B$2)+1)/(ABONOS!$B$2:$B$220=$D$6),ROWS($C$16:C22)),"")),""))</f>
        <v/>
      </c>
      <c r="H22" s="33"/>
    </row>
    <row r="23" spans="2:8">
      <c r="B23" s="31"/>
      <c r="C23" s="1" t="str">
        <f>IFERROR(INDEX(ABONOS!$C$2:$C$220,IFERROR(_xlfn.AGGREGATE(15,6,(ROW(ABONOS!$B$2:$B$220)-ROW(ABONOS!$B$2)+1)/(ABONOS!$B$2:$B$220=$D$6),ROWS($C$16:C23)),"")),"")</f>
        <v/>
      </c>
      <c r="D23" s="5" t="str">
        <f>IF($C23="","",IFERROR(INDEX(ABONOS!$D$2:$D$220,IFERROR(_xlfn.AGGREGATE(15,6,(ROW(ABONOS!$B$2:$B$220)-ROW(ABONOS!$B$2)+1)/(ABONOS!$B$2:$B$220=$D$6),ROWS($C$16:C23)),"")),""))</f>
        <v/>
      </c>
      <c r="E23" s="7" t="str">
        <f>IF($C23="","",IFERROR(INDEX(ABONOS!$E$2:$E$220,IFERROR(_xlfn.AGGREGATE(15,6,(ROW(ABONOS!$B$2:$B$220)-ROW(ABONOS!$B$2)+1)/(ABONOS!$B$2:$B$220=$D$6),ROWS($C$16:C23)),"")),""))</f>
        <v/>
      </c>
      <c r="F23" s="1" t="str">
        <f>IF($C23="","",IFERROR(INDEX(ABONOS!$F$2:$F$220,IFERROR(_xlfn.AGGREGATE(15,6,(ROW(ABONOS!$B$2:$B$220)-ROW(ABONOS!$B$2)+1)/(ABONOS!$B$2:$B$220=$D$6),ROWS($C$16:C23)),"")),""))</f>
        <v/>
      </c>
      <c r="G23" s="1" t="str">
        <f>IF($C23="","",IFERROR(INDEX(ABONOS!$G$2:$G$220,IFERROR(_xlfn.AGGREGATE(15,6,(ROW(ABONOS!$B$2:$B$220)-ROW(ABONOS!$B$2)+1)/(ABONOS!$B$2:$B$220=$D$6),ROWS($C$16:C23)),"")),""))</f>
        <v/>
      </c>
      <c r="H23" s="33"/>
    </row>
    <row r="24" spans="2:8">
      <c r="B24" s="31"/>
      <c r="C24" s="1" t="str">
        <f>IFERROR(INDEX(ABONOS!$C$2:$C$220,IFERROR(_xlfn.AGGREGATE(15,6,(ROW(ABONOS!$B$2:$B$220)-ROW(ABONOS!$B$2)+1)/(ABONOS!$B$2:$B$220=$D$6),ROWS($C$16:C24)),"")),"")</f>
        <v/>
      </c>
      <c r="D24" s="5" t="str">
        <f>IF($C24="","",IFERROR(INDEX(ABONOS!$D$2:$D$220,IFERROR(_xlfn.AGGREGATE(15,6,(ROW(ABONOS!$B$2:$B$220)-ROW(ABONOS!$B$2)+1)/(ABONOS!$B$2:$B$220=$D$6),ROWS($C$16:C24)),"")),""))</f>
        <v/>
      </c>
      <c r="E24" s="7" t="str">
        <f>IF($C24="","",IFERROR(INDEX(ABONOS!$E$2:$E$220,IFERROR(_xlfn.AGGREGATE(15,6,(ROW(ABONOS!$B$2:$B$220)-ROW(ABONOS!$B$2)+1)/(ABONOS!$B$2:$B$220=$D$6),ROWS($C$16:C24)),"")),""))</f>
        <v/>
      </c>
      <c r="F24" s="1" t="str">
        <f>IF($C24="","",IFERROR(INDEX(ABONOS!$F$2:$F$220,IFERROR(_xlfn.AGGREGATE(15,6,(ROW(ABONOS!$B$2:$B$220)-ROW(ABONOS!$B$2)+1)/(ABONOS!$B$2:$B$220=$D$6),ROWS($C$16:C24)),"")),""))</f>
        <v/>
      </c>
      <c r="G24" s="1" t="str">
        <f>IF($C24="","",IFERROR(INDEX(ABONOS!$G$2:$G$220,IFERROR(_xlfn.AGGREGATE(15,6,(ROW(ABONOS!$B$2:$B$220)-ROW(ABONOS!$B$2)+1)/(ABONOS!$B$2:$B$220=$D$6),ROWS($C$16:C24)),"")),""))</f>
        <v/>
      </c>
      <c r="H24" s="33"/>
    </row>
    <row r="25" spans="2:8" ht="14.4" thickBot="1">
      <c r="B25" s="34"/>
      <c r="C25" s="35" t="str">
        <f>IFERROR(INDEX(ABONOS!$C$2:$C$220,IFERROR(_xlfn.AGGREGATE(15,6,(ROW(ABONOS!$B$2:$B$220)-ROW(ABONOS!$B$2)+1)/(ABONOS!$B$2:$B$220=$D$6),ROWS($C$16:C25)),"")),"")</f>
        <v/>
      </c>
      <c r="D25" s="36" t="str">
        <f>IF($C25="","",IFERROR(INDEX(ABONOS!$D$2:$D$220,IFERROR(_xlfn.AGGREGATE(15,6,(ROW(ABONOS!$B$2:$B$220)-ROW(ABONOS!$B$2)+1)/(ABONOS!$B$2:$B$220=$D$6),ROWS($C$16:C25)),"")),""))</f>
        <v/>
      </c>
      <c r="E25" s="37" t="str">
        <f>IF($C25="","",IFERROR(INDEX(ABONOS!$E$2:$E$220,IFERROR(_xlfn.AGGREGATE(15,6,(ROW(ABONOS!$B$2:$B$220)-ROW(ABONOS!$B$2)+1)/(ABONOS!$B$2:$B$220=$D$6),ROWS($C$16:C25)),"")),""))</f>
        <v/>
      </c>
      <c r="F25" s="35" t="str">
        <f>IF($C25="","",IFERROR(INDEX(ABONOS!$F$2:$F$220,IFERROR(_xlfn.AGGREGATE(15,6,(ROW(ABONOS!$B$2:$B$220)-ROW(ABONOS!$B$2)+1)/(ABONOS!$B$2:$B$220=$D$6),ROWS($C$16:C25)),"")),""))</f>
        <v/>
      </c>
      <c r="G25" s="35" t="str">
        <f>IF($C25="","",IFERROR(INDEX(ABONOS!$G$2:$G$220,IFERROR(_xlfn.AGGREGATE(15,6,(ROW(ABONOS!$B$2:$B$220)-ROW(ABONOS!$B$2)+1)/(ABONOS!$B$2:$B$220=$D$6),ROWS($C$16:C25)),"")),""))</f>
        <v/>
      </c>
      <c r="H25" s="38"/>
    </row>
    <row r="26" spans="2:8">
      <c r="B26" s="1"/>
      <c r="C26" s="1" t="str">
        <f>IFERROR(INDEX(ABONOS!$C$2:$C$220,IFERROR(_xlfn.AGGREGATE(15,6,(ROW(ABONOS!$B$2:$B$220)-ROW(ABONOS!$B$2)+1)/(ABONOS!$B$2:$B$220=$D$6),ROWS($C$16:C26)),"")),"")</f>
        <v/>
      </c>
      <c r="D26" s="5" t="str">
        <f>IF($C26="","",IFERROR(INDEX(ABONOS!$D$2:$D$220,IFERROR(_xlfn.AGGREGATE(15,6,(ROW(ABONOS!$B$2:$B$220)-ROW(ABONOS!$B$2)+1)/(ABONOS!$B$2:$B$220=$D$6),ROWS($C$16:C26)),"")),""))</f>
        <v/>
      </c>
      <c r="E26" s="7" t="str">
        <f>IF($C26="","",IFERROR(INDEX(ABONOS!$E$2:$E$220,IFERROR(_xlfn.AGGREGATE(15,6,(ROW(ABONOS!$B$2:$B$220)-ROW(ABONOS!$B$2)+1)/(ABONOS!$B$2:$B$220=$D$6),ROWS($C$16:C26)),"")),""))</f>
        <v/>
      </c>
      <c r="F26" s="1" t="str">
        <f>IF($C26="","",IFERROR(INDEX(ABONOS!$F$2:$F$220,IFERROR(_xlfn.AGGREGATE(15,6,(ROW(ABONOS!$B$2:$B$220)-ROW(ABONOS!$B$2)+1)/(ABONOS!$B$2:$B$220=$D$6),ROWS($C$16:C26)),"")),""))</f>
        <v/>
      </c>
      <c r="G26" s="1" t="str">
        <f>IF($C26="","",IFERROR(INDEX(ABONOS!$G$2:$G$220,IFERROR(_xlfn.AGGREGATE(15,6,(ROW(ABONOS!$B$2:$B$220)-ROW(ABONOS!$B$2)+1)/(ABONOS!$B$2:$B$220=$D$6),ROWS($C$16:C26)),"")),""))</f>
        <v/>
      </c>
      <c r="H26" s="1"/>
    </row>
    <row r="27" spans="2:8">
      <c r="C27" t="str">
        <f>IFERROR(INDEX(#REF!,IFERROR(_xlfn.AGGREGATE(15,6,(ROW(#REF!)-ROW(#REF!)+1)/(#REF!=$D$6),ROWS($C$27:C27)),"")),"")</f>
        <v/>
      </c>
      <c r="D27" s="4" t="str">
        <f>IFERROR(INDEX(#REF!,IFERROR(_xlfn.AGGREGATE(15,6,(ROW(#REF!)-ROW(#REF!)+1)/(#REF!=$D$6),ROWS($C$27:C27)),"")),"")</f>
        <v/>
      </c>
      <c r="E27" s="6" t="str">
        <f>IFERROR(INDEX(#REF!,IFERROR(_xlfn.AGGREGATE(15,6,(ROW(#REF!)-ROW(#REF!)+1)/(#REF!=$D$6),ROWS($C$27:C27)),"")),"")</f>
        <v/>
      </c>
      <c r="F27" s="6" t="str">
        <f>IFERROR(INDEX(#REF!,IFERROR(_xlfn.AGGREGATE(15,6,(ROW(#REF!)-ROW(#REF!)+1)/(#REF!=$D$6),ROWS($C$27:C27)),"")),"")</f>
        <v/>
      </c>
      <c r="G27" s="6" t="str">
        <f>IFERROR(INDEX(#REF!,IFERROR(_xlfn.AGGREGATE(15,6,(ROW(#REF!)-ROW(#REF!)+1)/(#REF!=$D$6),ROWS($C$27:C27)),"")),"")</f>
        <v/>
      </c>
      <c r="H27" t="str">
        <f>IFERROR(INDEX(#REF!,IFERROR(_xlfn.AGGREGATE(15,6,(ROW(#REF!)-ROW(#REF!)+1)/(#REF!=$D$6),ROWS($C$27:C27)),"")),"")</f>
        <v/>
      </c>
    </row>
  </sheetData>
  <mergeCells count="1">
    <mergeCell ref="C3:G4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100-000000000000}">
          <x14:formula1>
            <xm:f>VENTAS!$A$2:$A$100</xm:f>
          </x14:formula1>
          <xm:sqref>D6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00"/>
  <sheetViews>
    <sheetView workbookViewId="0">
      <pane ySplit="1" topLeftCell="A2" activePane="bottomLeft" state="frozen"/>
      <selection pane="bottomLeft" activeCell="A78" sqref="A78"/>
    </sheetView>
  </sheetViews>
  <sheetFormatPr baseColWidth="10" defaultColWidth="8.796875" defaultRowHeight="13.8"/>
  <cols>
    <col min="1" max="1" width="15" customWidth="1"/>
    <col min="2" max="2" width="17" customWidth="1"/>
    <col min="3" max="3" width="14" customWidth="1"/>
    <col min="4" max="4" width="13" customWidth="1"/>
    <col min="5" max="5" width="35.59765625" customWidth="1"/>
    <col min="6" max="6" width="20" customWidth="1"/>
    <col min="7" max="7" width="19" customWidth="1"/>
    <col min="8" max="8" width="29" customWidth="1"/>
    <col min="9" max="9" width="25" customWidth="1"/>
    <col min="10" max="10" width="17" customWidth="1"/>
    <col min="11" max="12" width="22" customWidth="1"/>
    <col min="13" max="15" width="21" customWidth="1"/>
    <col min="16" max="17" width="22" customWidth="1"/>
    <col min="18" max="18" width="17" customWidth="1"/>
  </cols>
  <sheetData>
    <row r="1" spans="1:18" ht="31.95" customHeight="1">
      <c r="A1" s="56" t="s">
        <v>21</v>
      </c>
      <c r="B1" s="56" t="s">
        <v>22</v>
      </c>
      <c r="C1" s="56" t="s">
        <v>10</v>
      </c>
      <c r="D1" s="56" t="s">
        <v>23</v>
      </c>
      <c r="E1" s="57" t="s">
        <v>7</v>
      </c>
      <c r="F1" s="57" t="s">
        <v>24</v>
      </c>
      <c r="G1" s="57" t="s">
        <v>25</v>
      </c>
      <c r="H1" s="57" t="s">
        <v>26</v>
      </c>
      <c r="I1" s="57" t="s">
        <v>27</v>
      </c>
      <c r="J1" s="57" t="s">
        <v>14</v>
      </c>
      <c r="K1" s="57" t="s">
        <v>8</v>
      </c>
      <c r="L1" s="57" t="s">
        <v>15</v>
      </c>
      <c r="M1" s="57" t="s">
        <v>28</v>
      </c>
      <c r="N1" s="57" t="s">
        <v>148</v>
      </c>
      <c r="O1" s="57" t="s">
        <v>355</v>
      </c>
      <c r="P1" s="56" t="s">
        <v>29</v>
      </c>
      <c r="Q1" s="56" t="s">
        <v>30</v>
      </c>
      <c r="R1" s="56" t="s">
        <v>13</v>
      </c>
    </row>
    <row r="2" spans="1:18">
      <c r="A2" t="s">
        <v>6</v>
      </c>
      <c r="B2" t="s">
        <v>165</v>
      </c>
      <c r="C2" s="11" t="s">
        <v>31</v>
      </c>
      <c r="D2" s="12">
        <v>350</v>
      </c>
      <c r="J2" s="4"/>
      <c r="K2" s="6"/>
      <c r="L2" s="6"/>
      <c r="P2" s="6">
        <f>IF(A2="","",SUMIF(ABONOS!$B$2:$B$220,A2,ABONOS!$E$2:$E$220))</f>
        <v>0</v>
      </c>
      <c r="Q2" s="6">
        <f t="shared" ref="Q2:Q33" si="0">IF(A2="","",K2-P2)</f>
        <v>0</v>
      </c>
      <c r="R2" s="8" t="str">
        <f t="shared" ref="R2:R33" si="1">IFERROR(IF(A2="","",P2/K2),"")</f>
        <v/>
      </c>
    </row>
    <row r="3" spans="1:18">
      <c r="A3" t="s">
        <v>32</v>
      </c>
      <c r="B3" t="s">
        <v>165</v>
      </c>
      <c r="C3" s="11" t="s">
        <v>38</v>
      </c>
      <c r="D3" s="12">
        <v>656</v>
      </c>
      <c r="J3" s="4"/>
      <c r="K3" s="6"/>
      <c r="L3" s="6"/>
      <c r="P3" s="6">
        <f>IF(A3="","",SUMIF(ABONOS!$B$2:$B$220,A3,ABONOS!$E$2:$E$220))</f>
        <v>0</v>
      </c>
      <c r="Q3" s="6">
        <f t="shared" si="0"/>
        <v>0</v>
      </c>
      <c r="R3" s="8" t="str">
        <f t="shared" si="1"/>
        <v/>
      </c>
    </row>
    <row r="4" spans="1:18">
      <c r="A4" t="s">
        <v>35</v>
      </c>
      <c r="B4" t="s">
        <v>165</v>
      </c>
      <c r="C4" s="11" t="s">
        <v>42</v>
      </c>
      <c r="D4" s="12">
        <v>281</v>
      </c>
      <c r="E4" s="11" t="s">
        <v>349</v>
      </c>
      <c r="F4">
        <v>16862434</v>
      </c>
      <c r="G4">
        <v>3174211264</v>
      </c>
      <c r="H4" s="15" t="s">
        <v>350</v>
      </c>
      <c r="I4" t="s">
        <v>351</v>
      </c>
      <c r="J4" s="4">
        <v>46253</v>
      </c>
      <c r="K4" s="6">
        <v>48891941</v>
      </c>
      <c r="L4" s="6">
        <v>24446016</v>
      </c>
      <c r="P4" s="6">
        <f>IF(A4="","",SUMIF(ABONOS!$B$2:$B$220,A4,ABONOS!$E$2:$E$220))</f>
        <v>30000000</v>
      </c>
      <c r="Q4" s="6">
        <f t="shared" si="0"/>
        <v>18891941</v>
      </c>
      <c r="R4" s="8">
        <f t="shared" si="1"/>
        <v>0.61359805698857406</v>
      </c>
    </row>
    <row r="5" spans="1:18">
      <c r="A5" t="s">
        <v>37</v>
      </c>
      <c r="B5" t="s">
        <v>165</v>
      </c>
      <c r="C5" s="11" t="s">
        <v>46</v>
      </c>
      <c r="D5" s="12">
        <v>251</v>
      </c>
      <c r="E5" s="11" t="s">
        <v>349</v>
      </c>
      <c r="F5">
        <v>16862434</v>
      </c>
      <c r="G5">
        <v>3174211264</v>
      </c>
      <c r="H5" s="15" t="s">
        <v>350</v>
      </c>
      <c r="I5" t="s">
        <v>351</v>
      </c>
      <c r="J5" s="4">
        <v>46253</v>
      </c>
      <c r="K5" s="6">
        <v>43672161</v>
      </c>
      <c r="L5" s="6">
        <v>21836080</v>
      </c>
      <c r="P5" s="6">
        <f>IF(A5="","",SUMIF(ABONOS!$B$2:$B$220,A5,ABONOS!$E$2:$E$220))</f>
        <v>30000000</v>
      </c>
      <c r="Q5" s="6">
        <f t="shared" si="0"/>
        <v>13672161</v>
      </c>
      <c r="R5" s="8">
        <f t="shared" si="1"/>
        <v>0.68693646737563552</v>
      </c>
    </row>
    <row r="6" spans="1:18">
      <c r="A6" t="s">
        <v>39</v>
      </c>
      <c r="B6" t="s">
        <v>165</v>
      </c>
      <c r="C6" s="11" t="s">
        <v>157</v>
      </c>
      <c r="D6" s="12">
        <v>251</v>
      </c>
      <c r="J6" s="4"/>
      <c r="K6" s="6"/>
      <c r="L6" s="6"/>
      <c r="P6" s="6">
        <f>IF(A6="","",SUMIF(ABONOS!$B$2:$B$220,A6,ABONOS!$E$2:$E$220))</f>
        <v>0</v>
      </c>
      <c r="Q6" s="6">
        <f t="shared" si="0"/>
        <v>0</v>
      </c>
      <c r="R6" s="8" t="str">
        <f t="shared" si="1"/>
        <v/>
      </c>
    </row>
    <row r="7" spans="1:18">
      <c r="A7" t="s">
        <v>40</v>
      </c>
      <c r="B7" t="s">
        <v>165</v>
      </c>
      <c r="C7" s="11" t="s">
        <v>158</v>
      </c>
      <c r="D7" s="12">
        <v>251</v>
      </c>
      <c r="E7" s="11" t="s">
        <v>352</v>
      </c>
      <c r="F7">
        <v>1007888222</v>
      </c>
      <c r="G7">
        <v>3013555173</v>
      </c>
      <c r="H7" s="15" t="s">
        <v>353</v>
      </c>
      <c r="I7" t="s">
        <v>354</v>
      </c>
      <c r="J7" s="4"/>
      <c r="K7" s="6">
        <v>65129741</v>
      </c>
      <c r="L7" s="6">
        <v>32564870</v>
      </c>
      <c r="M7" t="s">
        <v>337</v>
      </c>
      <c r="N7" t="s">
        <v>335</v>
      </c>
      <c r="O7" t="s">
        <v>356</v>
      </c>
      <c r="P7" s="6">
        <f>IF(A7="","",SUMIF(ABONOS!$B$2:$B$220,A7,ABONOS!$E$2:$E$220))</f>
        <v>18500000</v>
      </c>
      <c r="Q7" s="6">
        <f t="shared" si="0"/>
        <v>46629741</v>
      </c>
      <c r="R7" s="8">
        <f t="shared" si="1"/>
        <v>0.28404841959988758</v>
      </c>
    </row>
    <row r="8" spans="1:18">
      <c r="A8" t="s">
        <v>41</v>
      </c>
      <c r="B8" t="s">
        <v>165</v>
      </c>
      <c r="C8" s="11" t="s">
        <v>159</v>
      </c>
      <c r="D8" s="12">
        <v>250</v>
      </c>
      <c r="E8" s="11" t="s">
        <v>352</v>
      </c>
      <c r="F8">
        <v>1007888222</v>
      </c>
      <c r="G8">
        <v>3013555173</v>
      </c>
      <c r="H8" s="15" t="s">
        <v>353</v>
      </c>
      <c r="I8" t="s">
        <v>354</v>
      </c>
      <c r="J8" s="4"/>
      <c r="K8" s="6">
        <v>64870259</v>
      </c>
      <c r="L8" s="6">
        <v>32435129</v>
      </c>
      <c r="M8" t="s">
        <v>337</v>
      </c>
      <c r="N8" t="s">
        <v>335</v>
      </c>
      <c r="O8" t="s">
        <v>356</v>
      </c>
      <c r="P8" s="6">
        <f>IF(A8="","",SUMIF(ABONOS!$B$2:$B$220,A8,ABONOS!$E$2:$E$220))</f>
        <v>18500000</v>
      </c>
      <c r="Q8" s="6">
        <f t="shared" si="0"/>
        <v>46370259</v>
      </c>
      <c r="R8" s="8">
        <f t="shared" si="1"/>
        <v>0.28518461749936902</v>
      </c>
    </row>
    <row r="9" spans="1:18">
      <c r="A9" t="s">
        <v>43</v>
      </c>
      <c r="B9" t="s">
        <v>165</v>
      </c>
      <c r="C9" s="11" t="s">
        <v>160</v>
      </c>
      <c r="D9" s="12">
        <v>251</v>
      </c>
      <c r="E9" s="11" t="s">
        <v>348</v>
      </c>
      <c r="F9">
        <v>1114835068</v>
      </c>
      <c r="J9" s="4">
        <v>46280</v>
      </c>
      <c r="K9" s="6">
        <v>90000000</v>
      </c>
      <c r="L9" s="6">
        <v>45000000</v>
      </c>
      <c r="P9" s="6">
        <f>IF(A9="","",SUMIF(ABONOS!$B$2:$B$220,A9,ABONOS!$E$2:$E$220))</f>
        <v>45000000</v>
      </c>
      <c r="Q9" s="6">
        <f t="shared" si="0"/>
        <v>45000000</v>
      </c>
      <c r="R9" s="8">
        <f t="shared" si="1"/>
        <v>0.5</v>
      </c>
    </row>
    <row r="10" spans="1:18">
      <c r="A10" t="s">
        <v>44</v>
      </c>
      <c r="B10" t="s">
        <v>165</v>
      </c>
      <c r="C10" s="11" t="s">
        <v>161</v>
      </c>
      <c r="D10" s="12">
        <v>252</v>
      </c>
      <c r="J10" s="4"/>
      <c r="K10" s="6"/>
      <c r="L10" s="6"/>
      <c r="P10" s="6">
        <f>IF(A10="","",SUMIF(ABONOS!$B$2:$B$220,A10,ABONOS!$E$2:$E$220))</f>
        <v>0</v>
      </c>
      <c r="Q10" s="6">
        <f t="shared" si="0"/>
        <v>0</v>
      </c>
      <c r="R10" s="8" t="str">
        <f t="shared" si="1"/>
        <v/>
      </c>
    </row>
    <row r="11" spans="1:18">
      <c r="A11" t="s">
        <v>45</v>
      </c>
      <c r="B11" t="s">
        <v>165</v>
      </c>
      <c r="C11" s="11" t="s">
        <v>162</v>
      </c>
      <c r="D11" s="12">
        <v>253</v>
      </c>
      <c r="J11" s="4"/>
      <c r="K11" s="6"/>
      <c r="L11" s="6"/>
      <c r="P11" s="6">
        <f>IF(A11="","",SUMIF(ABONOS!$B$2:$B$220,A11,ABONOS!$E$2:$E$220))</f>
        <v>0</v>
      </c>
      <c r="Q11" s="6">
        <f t="shared" si="0"/>
        <v>0</v>
      </c>
      <c r="R11" s="8" t="str">
        <f t="shared" si="1"/>
        <v/>
      </c>
    </row>
    <row r="12" spans="1:18">
      <c r="A12" t="s">
        <v>47</v>
      </c>
      <c r="B12" t="s">
        <v>165</v>
      </c>
      <c r="C12" s="11" t="s">
        <v>163</v>
      </c>
      <c r="D12" s="12">
        <v>255</v>
      </c>
      <c r="J12" s="4"/>
      <c r="K12" s="6"/>
      <c r="L12" s="6"/>
      <c r="P12" s="6">
        <f>IF(A12="","",SUMIF(ABONOS!$B$2:$B$220,A12,ABONOS!$E$2:$E$220))</f>
        <v>0</v>
      </c>
      <c r="Q12" s="6">
        <f t="shared" si="0"/>
        <v>0</v>
      </c>
      <c r="R12" s="8" t="str">
        <f t="shared" si="1"/>
        <v/>
      </c>
    </row>
    <row r="13" spans="1:18">
      <c r="A13" t="s">
        <v>48</v>
      </c>
      <c r="B13" t="s">
        <v>165</v>
      </c>
      <c r="C13" s="11" t="s">
        <v>164</v>
      </c>
      <c r="D13" s="12">
        <v>256</v>
      </c>
      <c r="E13" s="11" t="s">
        <v>357</v>
      </c>
      <c r="F13">
        <v>1007837072</v>
      </c>
      <c r="G13">
        <v>3116774637</v>
      </c>
      <c r="H13" s="15" t="s">
        <v>358</v>
      </c>
      <c r="I13" t="s">
        <v>359</v>
      </c>
      <c r="J13" s="4"/>
      <c r="K13" s="6">
        <v>59534884</v>
      </c>
      <c r="L13" s="6">
        <v>29767442</v>
      </c>
      <c r="M13" t="s">
        <v>147</v>
      </c>
      <c r="O13" t="s">
        <v>356</v>
      </c>
      <c r="P13" s="6">
        <f>IF(A13="","",SUMIF(ABONOS!$B$2:$B$220,A13,ABONOS!$E$2:$E$220))</f>
        <v>0</v>
      </c>
      <c r="Q13" s="6">
        <f t="shared" si="0"/>
        <v>59534884</v>
      </c>
      <c r="R13" s="8">
        <f t="shared" si="1"/>
        <v>0</v>
      </c>
    </row>
    <row r="14" spans="1:18">
      <c r="A14" t="s">
        <v>150</v>
      </c>
      <c r="B14" t="s">
        <v>165</v>
      </c>
      <c r="C14" s="11" t="s">
        <v>167</v>
      </c>
      <c r="D14" s="12">
        <v>260</v>
      </c>
      <c r="E14" s="11" t="s">
        <v>357</v>
      </c>
      <c r="F14">
        <v>1007837072</v>
      </c>
      <c r="G14">
        <v>3116774637</v>
      </c>
      <c r="H14" s="15" t="s">
        <v>358</v>
      </c>
      <c r="I14" t="s">
        <v>359</v>
      </c>
      <c r="J14" s="4"/>
      <c r="K14" s="6">
        <v>60465116</v>
      </c>
      <c r="L14" s="6">
        <v>30232558</v>
      </c>
      <c r="M14" t="s">
        <v>147</v>
      </c>
      <c r="O14" t="s">
        <v>356</v>
      </c>
      <c r="P14" s="6">
        <f>IF(A14="","",SUMIF(ABONOS!$B$2:$B$220,A14,ABONOS!$E$2:$E$220))</f>
        <v>0</v>
      </c>
      <c r="Q14" s="6">
        <f t="shared" si="0"/>
        <v>60465116</v>
      </c>
      <c r="R14" s="8">
        <f t="shared" si="1"/>
        <v>0</v>
      </c>
    </row>
    <row r="15" spans="1:18">
      <c r="A15" t="s">
        <v>151</v>
      </c>
      <c r="B15" t="s">
        <v>165</v>
      </c>
      <c r="C15" s="11" t="s">
        <v>168</v>
      </c>
      <c r="D15" s="12">
        <v>260</v>
      </c>
      <c r="J15" s="4"/>
      <c r="K15" s="6"/>
      <c r="L15" s="6"/>
      <c r="P15" s="6">
        <f>IF(A15="","",SUMIF(ABONOS!$B$2:$B$220,A15,ABONOS!$E$2:$E$220))</f>
        <v>0</v>
      </c>
      <c r="Q15" s="6">
        <f t="shared" si="0"/>
        <v>0</v>
      </c>
      <c r="R15" s="8" t="str">
        <f t="shared" si="1"/>
        <v/>
      </c>
    </row>
    <row r="16" spans="1:18">
      <c r="A16" t="s">
        <v>152</v>
      </c>
      <c r="B16" t="s">
        <v>165</v>
      </c>
      <c r="C16" s="11" t="s">
        <v>169</v>
      </c>
      <c r="D16" s="12">
        <v>260</v>
      </c>
      <c r="J16" s="4"/>
      <c r="K16" s="6"/>
      <c r="L16" s="6"/>
      <c r="P16" s="6">
        <f>IF(A16="","",SUMIF(ABONOS!$B$2:$B$220,A16,ABONOS!$E$2:$E$220))</f>
        <v>0</v>
      </c>
      <c r="Q16" s="6">
        <f t="shared" si="0"/>
        <v>0</v>
      </c>
      <c r="R16" s="8" t="str">
        <f t="shared" si="1"/>
        <v/>
      </c>
    </row>
    <row r="17" spans="1:18">
      <c r="A17" t="s">
        <v>153</v>
      </c>
      <c r="B17" t="s">
        <v>165</v>
      </c>
      <c r="C17" s="11" t="s">
        <v>170</v>
      </c>
      <c r="D17" s="12">
        <v>260</v>
      </c>
      <c r="J17" s="4"/>
      <c r="K17" s="6"/>
      <c r="L17" s="6"/>
      <c r="P17" s="6">
        <f>IF(A17="","",SUMIF(ABONOS!$B$2:$B$220,A17,ABONOS!$E$2:$E$220))</f>
        <v>0</v>
      </c>
      <c r="Q17" s="6">
        <f t="shared" si="0"/>
        <v>0</v>
      </c>
      <c r="R17" s="8" t="str">
        <f t="shared" si="1"/>
        <v/>
      </c>
    </row>
    <row r="18" spans="1:18">
      <c r="A18" t="s">
        <v>154</v>
      </c>
      <c r="B18" t="s">
        <v>165</v>
      </c>
      <c r="C18" s="11" t="s">
        <v>171</v>
      </c>
      <c r="D18" s="12">
        <v>258</v>
      </c>
      <c r="J18" s="4"/>
      <c r="K18" s="6"/>
      <c r="L18" s="6"/>
      <c r="P18" s="6">
        <f>IF(A18="","",SUMIF(ABONOS!$B$2:$B$220,A18,ABONOS!$E$2:$E$220))</f>
        <v>0</v>
      </c>
      <c r="Q18" s="6">
        <f t="shared" si="0"/>
        <v>0</v>
      </c>
      <c r="R18" s="8" t="str">
        <f t="shared" si="1"/>
        <v/>
      </c>
    </row>
    <row r="19" spans="1:18">
      <c r="A19" t="s">
        <v>155</v>
      </c>
      <c r="B19" t="s">
        <v>165</v>
      </c>
      <c r="C19" s="11" t="s">
        <v>172</v>
      </c>
      <c r="D19" s="12">
        <v>256</v>
      </c>
      <c r="J19" s="4"/>
      <c r="K19" s="6"/>
      <c r="L19" s="6"/>
      <c r="P19" s="6">
        <f>IF(A19="","",SUMIF(ABONOS!$B$2:$B$220,A19,ABONOS!$E$2:$E$220))</f>
        <v>0</v>
      </c>
      <c r="Q19" s="6">
        <f t="shared" si="0"/>
        <v>0</v>
      </c>
      <c r="R19" s="8" t="str">
        <f t="shared" si="1"/>
        <v/>
      </c>
    </row>
    <row r="20" spans="1:18">
      <c r="A20" t="s">
        <v>156</v>
      </c>
      <c r="B20" t="s">
        <v>165</v>
      </c>
      <c r="C20" s="11" t="s">
        <v>173</v>
      </c>
      <c r="D20" s="12">
        <v>254</v>
      </c>
      <c r="J20" s="4"/>
      <c r="K20" s="6"/>
      <c r="L20" s="6"/>
      <c r="P20" s="6">
        <f>IF(A20="","",SUMIF(ABONOS!$B$2:$B$220,A20,ABONOS!$E$2:$E$220))</f>
        <v>0</v>
      </c>
      <c r="Q20" s="6">
        <f t="shared" si="0"/>
        <v>0</v>
      </c>
      <c r="R20" s="8" t="str">
        <f t="shared" si="1"/>
        <v/>
      </c>
    </row>
    <row r="21" spans="1:18">
      <c r="A21" t="s">
        <v>254</v>
      </c>
      <c r="B21" t="s">
        <v>165</v>
      </c>
      <c r="C21" s="11" t="s">
        <v>174</v>
      </c>
      <c r="D21" s="12">
        <v>510</v>
      </c>
      <c r="J21" s="4"/>
      <c r="K21" s="6"/>
      <c r="L21" s="6"/>
      <c r="P21" s="6">
        <f>IF(A21="","",SUMIF(ABONOS!$B$2:$B$220,A21,ABONOS!$E$2:$E$220))</f>
        <v>0</v>
      </c>
      <c r="Q21" s="6">
        <f t="shared" si="0"/>
        <v>0</v>
      </c>
      <c r="R21" s="8" t="str">
        <f t="shared" si="1"/>
        <v/>
      </c>
    </row>
    <row r="22" spans="1:18">
      <c r="A22" t="s">
        <v>255</v>
      </c>
      <c r="B22" t="s">
        <v>165</v>
      </c>
      <c r="C22" s="11" t="s">
        <v>175</v>
      </c>
      <c r="D22" s="12">
        <v>475</v>
      </c>
      <c r="J22" s="4"/>
      <c r="K22" s="6"/>
      <c r="L22" s="6"/>
      <c r="P22" s="6">
        <f>IF(A22="","",SUMIF(ABONOS!$B$2:$B$220,A22,ABONOS!$E$2:$E$220))</f>
        <v>0</v>
      </c>
      <c r="Q22" s="6">
        <f t="shared" si="0"/>
        <v>0</v>
      </c>
      <c r="R22" s="8" t="str">
        <f t="shared" si="1"/>
        <v/>
      </c>
    </row>
    <row r="23" spans="1:18">
      <c r="A23" t="s">
        <v>256</v>
      </c>
      <c r="B23" t="s">
        <v>165</v>
      </c>
      <c r="C23" s="11" t="s">
        <v>176</v>
      </c>
      <c r="D23" s="12">
        <v>250</v>
      </c>
      <c r="J23" s="4"/>
      <c r="K23" s="6"/>
      <c r="L23" s="6"/>
      <c r="P23" s="6">
        <f>IF(A23="","",SUMIF(ABONOS!$B$2:$B$220,A23,ABONOS!$E$2:$E$220))</f>
        <v>0</v>
      </c>
      <c r="Q23" s="6">
        <f t="shared" si="0"/>
        <v>0</v>
      </c>
      <c r="R23" s="8" t="str">
        <f t="shared" si="1"/>
        <v/>
      </c>
    </row>
    <row r="24" spans="1:18">
      <c r="A24" t="s">
        <v>257</v>
      </c>
      <c r="B24" t="s">
        <v>165</v>
      </c>
      <c r="C24" s="11" t="s">
        <v>177</v>
      </c>
      <c r="D24" s="12">
        <v>250</v>
      </c>
      <c r="J24" s="4"/>
      <c r="K24" s="6"/>
      <c r="L24" s="6"/>
      <c r="P24" s="6">
        <f>IF(A24="","",SUMIF(ABONOS!$B$2:$B$220,A24,ABONOS!$E$2:$E$220))</f>
        <v>0</v>
      </c>
      <c r="Q24" s="6">
        <f t="shared" si="0"/>
        <v>0</v>
      </c>
      <c r="R24" s="8" t="str">
        <f t="shared" si="1"/>
        <v/>
      </c>
    </row>
    <row r="25" spans="1:18">
      <c r="A25" t="s">
        <v>258</v>
      </c>
      <c r="B25" t="s">
        <v>165</v>
      </c>
      <c r="C25" s="11" t="s">
        <v>178</v>
      </c>
      <c r="D25" s="12">
        <v>250</v>
      </c>
      <c r="J25" s="4"/>
      <c r="K25" s="6"/>
      <c r="L25" s="6"/>
      <c r="P25" s="6">
        <f>IF(A25="","",SUMIF(ABONOS!$B$2:$B$220,A25,ABONOS!$E$2:$E$220))</f>
        <v>0</v>
      </c>
      <c r="Q25" s="6">
        <f t="shared" si="0"/>
        <v>0</v>
      </c>
      <c r="R25" s="8" t="str">
        <f t="shared" si="1"/>
        <v/>
      </c>
    </row>
    <row r="26" spans="1:18">
      <c r="A26" t="s">
        <v>259</v>
      </c>
      <c r="B26" t="s">
        <v>165</v>
      </c>
      <c r="C26" s="11" t="s">
        <v>179</v>
      </c>
      <c r="D26" s="12">
        <v>250</v>
      </c>
      <c r="J26" s="4"/>
      <c r="K26" s="6"/>
      <c r="L26" s="6"/>
      <c r="P26" s="6">
        <f>IF(A26="","",SUMIF(ABONOS!$B$2:$B$220,A26,ABONOS!$E$2:$E$220))</f>
        <v>0</v>
      </c>
      <c r="Q26" s="6">
        <f t="shared" si="0"/>
        <v>0</v>
      </c>
      <c r="R26" s="8" t="str">
        <f t="shared" si="1"/>
        <v/>
      </c>
    </row>
    <row r="27" spans="1:18">
      <c r="A27" t="s">
        <v>260</v>
      </c>
      <c r="B27" t="s">
        <v>165</v>
      </c>
      <c r="C27" s="11" t="s">
        <v>180</v>
      </c>
      <c r="D27" s="12">
        <v>250</v>
      </c>
      <c r="J27" s="4"/>
      <c r="K27" s="6"/>
      <c r="L27" s="6"/>
      <c r="P27" s="6">
        <f>IF(A27="","",SUMIF(ABONOS!$B$2:$B$220,A27,ABONOS!$E$2:$E$220))</f>
        <v>0</v>
      </c>
      <c r="Q27" s="6">
        <f t="shared" si="0"/>
        <v>0</v>
      </c>
      <c r="R27" s="8" t="str">
        <f t="shared" si="1"/>
        <v/>
      </c>
    </row>
    <row r="28" spans="1:18">
      <c r="A28" t="s">
        <v>261</v>
      </c>
      <c r="B28" t="s">
        <v>165</v>
      </c>
      <c r="C28" s="11" t="s">
        <v>181</v>
      </c>
      <c r="D28" s="12">
        <v>250</v>
      </c>
      <c r="J28" s="4"/>
      <c r="K28" s="6"/>
      <c r="L28" s="6"/>
      <c r="P28" s="6">
        <f>IF(A28="","",SUMIF(ABONOS!$B$2:$B$220,A28,ABONOS!$E$2:$E$220))</f>
        <v>0</v>
      </c>
      <c r="Q28" s="6">
        <f t="shared" si="0"/>
        <v>0</v>
      </c>
      <c r="R28" s="8" t="str">
        <f t="shared" si="1"/>
        <v/>
      </c>
    </row>
    <row r="29" spans="1:18">
      <c r="A29" t="s">
        <v>262</v>
      </c>
      <c r="B29" t="s">
        <v>165</v>
      </c>
      <c r="C29" s="11" t="s">
        <v>182</v>
      </c>
      <c r="D29" s="12">
        <v>250</v>
      </c>
      <c r="J29" s="4"/>
      <c r="K29" s="6"/>
      <c r="L29" s="6"/>
      <c r="P29" s="6">
        <f>IF(A29="","",SUMIF(ABONOS!$B$2:$B$220,A29,ABONOS!$E$2:$E$220))</f>
        <v>0</v>
      </c>
      <c r="Q29" s="6">
        <f t="shared" si="0"/>
        <v>0</v>
      </c>
      <c r="R29" s="8" t="str">
        <f t="shared" si="1"/>
        <v/>
      </c>
    </row>
    <row r="30" spans="1:18">
      <c r="A30" t="s">
        <v>263</v>
      </c>
      <c r="B30" t="s">
        <v>165</v>
      </c>
      <c r="C30" s="11" t="s">
        <v>183</v>
      </c>
      <c r="D30" s="12">
        <v>250</v>
      </c>
      <c r="J30" s="4"/>
      <c r="K30" s="6"/>
      <c r="L30" s="6"/>
      <c r="P30" s="6">
        <f>IF(A30="","",SUMIF(ABONOS!$B$2:$B$220,A30,ABONOS!$E$2:$E$220))</f>
        <v>0</v>
      </c>
      <c r="Q30" s="6">
        <f t="shared" si="0"/>
        <v>0</v>
      </c>
      <c r="R30" s="8" t="str">
        <f t="shared" si="1"/>
        <v/>
      </c>
    </row>
    <row r="31" spans="1:18">
      <c r="A31" t="s">
        <v>264</v>
      </c>
      <c r="B31" t="s">
        <v>165</v>
      </c>
      <c r="C31" s="11" t="s">
        <v>184</v>
      </c>
      <c r="D31" s="12">
        <v>250</v>
      </c>
      <c r="J31" s="4"/>
      <c r="K31" s="6"/>
      <c r="L31" s="6"/>
      <c r="P31" s="6">
        <f>IF(A31="","",SUMIF(ABONOS!$B$2:$B$220,A31,ABONOS!$E$2:$E$220))</f>
        <v>0</v>
      </c>
      <c r="Q31" s="6">
        <f t="shared" si="0"/>
        <v>0</v>
      </c>
      <c r="R31" s="8" t="str">
        <f t="shared" si="1"/>
        <v/>
      </c>
    </row>
    <row r="32" spans="1:18">
      <c r="A32" t="s">
        <v>265</v>
      </c>
      <c r="B32" t="s">
        <v>165</v>
      </c>
      <c r="C32" s="11" t="s">
        <v>185</v>
      </c>
      <c r="D32" s="12">
        <v>250</v>
      </c>
      <c r="J32" s="4"/>
      <c r="K32" s="6"/>
      <c r="L32" s="6"/>
      <c r="P32" s="6">
        <f>IF(A32="","",SUMIF(ABONOS!$B$2:$B$220,A32,ABONOS!$E$2:$E$220))</f>
        <v>0</v>
      </c>
      <c r="Q32" s="6">
        <f t="shared" si="0"/>
        <v>0</v>
      </c>
      <c r="R32" s="8" t="str">
        <f t="shared" si="1"/>
        <v/>
      </c>
    </row>
    <row r="33" spans="1:18">
      <c r="A33" t="s">
        <v>266</v>
      </c>
      <c r="B33" t="s">
        <v>165</v>
      </c>
      <c r="C33" s="11" t="s">
        <v>186</v>
      </c>
      <c r="D33" s="12">
        <v>250</v>
      </c>
      <c r="J33" s="4"/>
      <c r="K33" s="6"/>
      <c r="L33" s="6"/>
      <c r="P33" s="6">
        <f>IF(A33="","",SUMIF(ABONOS!$B$2:$B$220,A33,ABONOS!$E$2:$E$220))</f>
        <v>0</v>
      </c>
      <c r="Q33" s="6">
        <f t="shared" si="0"/>
        <v>0</v>
      </c>
      <c r="R33" s="8" t="str">
        <f t="shared" si="1"/>
        <v/>
      </c>
    </row>
    <row r="34" spans="1:18">
      <c r="A34" t="s">
        <v>267</v>
      </c>
      <c r="B34" t="s">
        <v>165</v>
      </c>
      <c r="C34" s="11" t="s">
        <v>187</v>
      </c>
      <c r="D34" s="12">
        <v>250</v>
      </c>
      <c r="J34" s="4"/>
      <c r="K34" s="6"/>
      <c r="L34" s="6"/>
      <c r="P34" s="6">
        <f>IF(A34="","",SUMIF(ABONOS!$B$2:$B$220,A34,ABONOS!$E$2:$E$220))</f>
        <v>0</v>
      </c>
      <c r="Q34" s="6">
        <f t="shared" ref="Q34:Q65" si="2">IF(A34="","",K34-P34)</f>
        <v>0</v>
      </c>
      <c r="R34" s="8" t="str">
        <f t="shared" ref="R34:R65" si="3">IFERROR(IF(A34="","",P34/K34),"")</f>
        <v/>
      </c>
    </row>
    <row r="35" spans="1:18">
      <c r="A35" t="s">
        <v>268</v>
      </c>
      <c r="B35" t="s">
        <v>165</v>
      </c>
      <c r="C35" s="11" t="s">
        <v>188</v>
      </c>
      <c r="D35" s="12">
        <v>250</v>
      </c>
      <c r="J35" s="4"/>
      <c r="K35" s="6"/>
      <c r="L35" s="6"/>
      <c r="P35" s="6">
        <f>IF(A35="","",SUMIF(ABONOS!$B$2:$B$220,A35,ABONOS!$E$2:$E$220))</f>
        <v>0</v>
      </c>
      <c r="Q35" s="6">
        <f t="shared" si="2"/>
        <v>0</v>
      </c>
      <c r="R35" s="8" t="str">
        <f t="shared" si="3"/>
        <v/>
      </c>
    </row>
    <row r="36" spans="1:18">
      <c r="A36" t="s">
        <v>269</v>
      </c>
      <c r="B36" t="s">
        <v>165</v>
      </c>
      <c r="C36" s="11" t="s">
        <v>189</v>
      </c>
      <c r="D36" s="12">
        <v>250</v>
      </c>
      <c r="J36" s="4"/>
      <c r="K36" s="6"/>
      <c r="L36" s="6"/>
      <c r="P36" s="6">
        <f>IF(A36="","",SUMIF(ABONOS!$B$2:$B$220,A36,ABONOS!$E$2:$E$220))</f>
        <v>0</v>
      </c>
      <c r="Q36" s="6">
        <f t="shared" si="2"/>
        <v>0</v>
      </c>
      <c r="R36" s="8" t="str">
        <f t="shared" si="3"/>
        <v/>
      </c>
    </row>
    <row r="37" spans="1:18">
      <c r="A37" t="s">
        <v>270</v>
      </c>
      <c r="B37" t="s">
        <v>165</v>
      </c>
      <c r="C37" s="11" t="s">
        <v>190</v>
      </c>
      <c r="D37" s="12">
        <v>323</v>
      </c>
      <c r="J37" s="4"/>
      <c r="K37" s="6"/>
      <c r="L37" s="6"/>
      <c r="P37" s="6">
        <f>IF(A37="","",SUMIF(ABONOS!$B$2:$B$220,A37,ABONOS!$E$2:$E$220))</f>
        <v>0</v>
      </c>
      <c r="Q37" s="6">
        <f t="shared" si="2"/>
        <v>0</v>
      </c>
      <c r="R37" s="8" t="str">
        <f t="shared" si="3"/>
        <v/>
      </c>
    </row>
    <row r="38" spans="1:18">
      <c r="A38" t="s">
        <v>271</v>
      </c>
      <c r="B38" t="s">
        <v>165</v>
      </c>
      <c r="C38" s="11" t="s">
        <v>191</v>
      </c>
      <c r="D38" s="12">
        <v>312</v>
      </c>
      <c r="J38" s="4"/>
      <c r="K38" s="6"/>
      <c r="L38" s="6"/>
      <c r="P38" s="6">
        <f>IF(A38="","",SUMIF(ABONOS!$B$2:$B$220,A38,ABONOS!$E$2:$E$220))</f>
        <v>0</v>
      </c>
      <c r="Q38" s="6">
        <f t="shared" si="2"/>
        <v>0</v>
      </c>
      <c r="R38" s="8" t="str">
        <f t="shared" si="3"/>
        <v/>
      </c>
    </row>
    <row r="39" spans="1:18">
      <c r="A39" t="s">
        <v>272</v>
      </c>
      <c r="B39" t="s">
        <v>165</v>
      </c>
      <c r="C39" s="11" t="s">
        <v>192</v>
      </c>
      <c r="D39" s="12">
        <v>500</v>
      </c>
      <c r="J39" s="4"/>
      <c r="K39" s="6"/>
      <c r="L39" s="6"/>
      <c r="P39" s="6">
        <f>IF(A39="","",SUMIF(ABONOS!$B$2:$B$220,A39,ABONOS!$E$2:$E$220))</f>
        <v>0</v>
      </c>
      <c r="Q39" s="6">
        <f t="shared" si="2"/>
        <v>0</v>
      </c>
      <c r="R39" s="8" t="str">
        <f t="shared" si="3"/>
        <v/>
      </c>
    </row>
    <row r="40" spans="1:18">
      <c r="A40" t="s">
        <v>273</v>
      </c>
      <c r="B40" t="s">
        <v>165</v>
      </c>
      <c r="C40" s="11" t="s">
        <v>193</v>
      </c>
      <c r="D40" s="12">
        <v>485</v>
      </c>
      <c r="E40" s="11" t="s">
        <v>361</v>
      </c>
      <c r="F40">
        <v>1114829022</v>
      </c>
      <c r="J40" s="4">
        <v>46255</v>
      </c>
      <c r="K40" s="6">
        <v>95000000</v>
      </c>
      <c r="L40" s="6">
        <v>47500000</v>
      </c>
      <c r="P40" s="6">
        <f>IF(A40="","",SUMIF(ABONOS!$B$2:$B$220,A40,ABONOS!$E$2:$E$220))</f>
        <v>50000000</v>
      </c>
      <c r="Q40" s="6">
        <f t="shared" si="2"/>
        <v>45000000</v>
      </c>
      <c r="R40" s="8">
        <f t="shared" si="3"/>
        <v>0.52631578947368418</v>
      </c>
    </row>
    <row r="41" spans="1:18">
      <c r="A41" t="s">
        <v>274</v>
      </c>
      <c r="B41" t="s">
        <v>165</v>
      </c>
      <c r="C41" s="11" t="s">
        <v>194</v>
      </c>
      <c r="D41" s="12">
        <v>500</v>
      </c>
      <c r="J41" s="4"/>
      <c r="K41" s="6"/>
      <c r="L41" s="6"/>
      <c r="P41" s="6">
        <f>IF(A41="","",SUMIF(ABONOS!$B$2:$B$220,A41,ABONOS!$E$2:$E$220))</f>
        <v>0</v>
      </c>
      <c r="Q41" s="6">
        <f t="shared" si="2"/>
        <v>0</v>
      </c>
      <c r="R41" s="8" t="str">
        <f t="shared" si="3"/>
        <v/>
      </c>
    </row>
    <row r="42" spans="1:18" s="60" customFormat="1">
      <c r="A42" s="60" t="s">
        <v>275</v>
      </c>
      <c r="B42" s="60" t="s">
        <v>165</v>
      </c>
      <c r="C42" s="61" t="s">
        <v>195</v>
      </c>
      <c r="D42" s="62">
        <v>500</v>
      </c>
      <c r="E42" s="61" t="s">
        <v>347</v>
      </c>
      <c r="F42" s="60">
        <v>1144069969</v>
      </c>
      <c r="J42" s="63">
        <v>46263</v>
      </c>
      <c r="K42" s="64"/>
      <c r="L42" s="64"/>
      <c r="P42" s="64">
        <f>IF(A42="","",SUMIF(ABONOS!$B$2:$B$220,A42,ABONOS!$E$2:$E$220))</f>
        <v>0</v>
      </c>
      <c r="Q42" s="64">
        <f t="shared" si="2"/>
        <v>0</v>
      </c>
      <c r="R42" s="65" t="str">
        <f t="shared" si="3"/>
        <v/>
      </c>
    </row>
    <row r="43" spans="1:18">
      <c r="A43" t="s">
        <v>276</v>
      </c>
      <c r="B43" t="s">
        <v>165</v>
      </c>
      <c r="C43" s="11" t="s">
        <v>196</v>
      </c>
      <c r="D43" s="12">
        <v>500</v>
      </c>
      <c r="E43" s="11" t="s">
        <v>360</v>
      </c>
      <c r="J43" s="4"/>
      <c r="K43" s="6">
        <v>85000000</v>
      </c>
      <c r="L43" s="6">
        <v>42500000</v>
      </c>
      <c r="P43" s="6">
        <f>IF(A43="","",SUMIF(ABONOS!$B$2:$B$220,A43,ABONOS!$E$2:$E$220))</f>
        <v>50000000</v>
      </c>
      <c r="Q43" s="6">
        <f t="shared" si="2"/>
        <v>35000000</v>
      </c>
      <c r="R43" s="8">
        <f t="shared" si="3"/>
        <v>0.58823529411764708</v>
      </c>
    </row>
    <row r="44" spans="1:18">
      <c r="A44" t="s">
        <v>277</v>
      </c>
      <c r="B44" t="s">
        <v>165</v>
      </c>
      <c r="C44" s="11" t="s">
        <v>197</v>
      </c>
      <c r="D44" s="12">
        <v>500</v>
      </c>
      <c r="J44" s="4"/>
      <c r="K44" s="6"/>
      <c r="L44" s="6"/>
      <c r="P44" s="6">
        <f>IF(A44="","",SUMIF(ABONOS!$B$2:$B$220,A44,ABONOS!$E$2:$E$220))</f>
        <v>0</v>
      </c>
      <c r="Q44" s="6">
        <f t="shared" si="2"/>
        <v>0</v>
      </c>
      <c r="R44" s="8" t="str">
        <f t="shared" si="3"/>
        <v/>
      </c>
    </row>
    <row r="45" spans="1:18">
      <c r="A45" t="s">
        <v>278</v>
      </c>
      <c r="B45" t="s">
        <v>165</v>
      </c>
      <c r="C45" s="11" t="s">
        <v>198</v>
      </c>
      <c r="D45" s="12">
        <v>500</v>
      </c>
      <c r="J45" s="4"/>
      <c r="K45" s="6"/>
      <c r="L45" s="6"/>
      <c r="P45" s="6">
        <f>IF(A45="","",SUMIF(ABONOS!$B$2:$B$220,A45,ABONOS!$E$2:$E$220))</f>
        <v>0</v>
      </c>
      <c r="Q45" s="6">
        <f t="shared" si="2"/>
        <v>0</v>
      </c>
      <c r="R45" s="8" t="str">
        <f t="shared" si="3"/>
        <v/>
      </c>
    </row>
    <row r="46" spans="1:18">
      <c r="A46" t="s">
        <v>279</v>
      </c>
      <c r="B46" t="s">
        <v>165</v>
      </c>
      <c r="C46" s="11" t="s">
        <v>199</v>
      </c>
      <c r="D46" s="12">
        <v>486</v>
      </c>
      <c r="E46" s="11" t="s">
        <v>361</v>
      </c>
      <c r="F46">
        <v>1114829022</v>
      </c>
      <c r="J46" s="4">
        <v>46255</v>
      </c>
      <c r="K46" s="6">
        <v>95000000</v>
      </c>
      <c r="L46" s="6">
        <v>47500000</v>
      </c>
      <c r="P46" s="6">
        <f>IF(A46="","",SUMIF(ABONOS!$B$2:$B$220,A46,ABONOS!$E$2:$E$220))</f>
        <v>50000000</v>
      </c>
      <c r="Q46" s="6">
        <f t="shared" si="2"/>
        <v>45000000</v>
      </c>
      <c r="R46" s="8">
        <f t="shared" si="3"/>
        <v>0.52631578947368418</v>
      </c>
    </row>
    <row r="47" spans="1:18">
      <c r="A47" t="s">
        <v>280</v>
      </c>
      <c r="B47" t="s">
        <v>165</v>
      </c>
      <c r="C47" s="11" t="s">
        <v>200</v>
      </c>
      <c r="D47" s="12">
        <v>500</v>
      </c>
      <c r="E47" s="11" t="s">
        <v>360</v>
      </c>
      <c r="J47" s="4"/>
      <c r="K47" s="6">
        <v>85000000</v>
      </c>
      <c r="L47" s="6">
        <v>42500000</v>
      </c>
      <c r="P47" s="6">
        <f>IF(A47="","",SUMIF(ABONOS!$B$2:$B$220,A47,ABONOS!$E$2:$E$220))</f>
        <v>50000000</v>
      </c>
      <c r="Q47" s="6">
        <f t="shared" si="2"/>
        <v>35000000</v>
      </c>
      <c r="R47" s="8">
        <f t="shared" si="3"/>
        <v>0.58823529411764708</v>
      </c>
    </row>
    <row r="48" spans="1:18">
      <c r="A48" t="s">
        <v>281</v>
      </c>
      <c r="B48" t="s">
        <v>165</v>
      </c>
      <c r="C48" s="11" t="s">
        <v>201</v>
      </c>
      <c r="D48" s="12">
        <v>505</v>
      </c>
      <c r="E48" s="11" t="s">
        <v>363</v>
      </c>
      <c r="F48">
        <v>1113626660</v>
      </c>
      <c r="G48">
        <v>3108303822</v>
      </c>
      <c r="H48" s="15" t="s">
        <v>364</v>
      </c>
      <c r="I48" t="s">
        <v>365</v>
      </c>
      <c r="J48" s="4">
        <v>46238</v>
      </c>
      <c r="K48" s="6">
        <v>85000000</v>
      </c>
      <c r="L48" s="6">
        <v>42500000</v>
      </c>
      <c r="P48" s="6">
        <f>IF(A48="","",SUMIF(ABONOS!$B$2:$B$220,A48,ABONOS!$E$2:$E$220))</f>
        <v>75000000</v>
      </c>
      <c r="Q48" s="6">
        <f t="shared" si="2"/>
        <v>10000000</v>
      </c>
      <c r="R48" s="8">
        <f t="shared" si="3"/>
        <v>0.88235294117647056</v>
      </c>
    </row>
    <row r="49" spans="1:18">
      <c r="A49" t="s">
        <v>282</v>
      </c>
      <c r="B49" t="s">
        <v>165</v>
      </c>
      <c r="C49" s="11" t="s">
        <v>202</v>
      </c>
      <c r="D49" s="12">
        <v>505</v>
      </c>
      <c r="E49" s="11" t="s">
        <v>362</v>
      </c>
      <c r="F49">
        <v>14697341</v>
      </c>
      <c r="J49" s="4"/>
      <c r="K49" s="6"/>
      <c r="L49" s="6"/>
      <c r="P49" s="6">
        <f>IF(A49="","",SUMIF(ABONOS!$B$2:$B$220,A49,ABONOS!$E$2:$E$220))</f>
        <v>0</v>
      </c>
      <c r="Q49" s="6">
        <f t="shared" si="2"/>
        <v>0</v>
      </c>
      <c r="R49" s="8" t="str">
        <f t="shared" si="3"/>
        <v/>
      </c>
    </row>
    <row r="50" spans="1:18">
      <c r="A50" t="s">
        <v>283</v>
      </c>
      <c r="B50" t="s">
        <v>165</v>
      </c>
      <c r="C50" s="11" t="s">
        <v>203</v>
      </c>
      <c r="D50" s="12">
        <v>695</v>
      </c>
      <c r="J50" s="4"/>
      <c r="K50" s="6"/>
      <c r="L50" s="6"/>
      <c r="P50" s="6">
        <f>IF(A50="","",SUMIF(ABONOS!$B$2:$B$220,A50,ABONOS!$E$2:$E$220))</f>
        <v>0</v>
      </c>
      <c r="Q50" s="6">
        <f t="shared" si="2"/>
        <v>0</v>
      </c>
      <c r="R50" s="8" t="str">
        <f t="shared" si="3"/>
        <v/>
      </c>
    </row>
    <row r="51" spans="1:18">
      <c r="A51" t="s">
        <v>284</v>
      </c>
      <c r="B51" t="s">
        <v>165</v>
      </c>
      <c r="C51" s="11" t="s">
        <v>204</v>
      </c>
      <c r="D51" s="12">
        <v>408</v>
      </c>
      <c r="J51" s="4"/>
      <c r="K51" s="6"/>
      <c r="L51" s="6"/>
      <c r="P51" s="6">
        <f>IF(A51="","",SUMIF(ABONOS!$B$2:$B$220,A51,ABONOS!$E$2:$E$220))</f>
        <v>0</v>
      </c>
      <c r="Q51" s="6">
        <f t="shared" si="2"/>
        <v>0</v>
      </c>
      <c r="R51" s="8" t="str">
        <f t="shared" si="3"/>
        <v/>
      </c>
    </row>
    <row r="52" spans="1:18">
      <c r="A52" t="s">
        <v>285</v>
      </c>
      <c r="B52" t="s">
        <v>165</v>
      </c>
      <c r="C52" s="11" t="s">
        <v>205</v>
      </c>
      <c r="D52" s="12">
        <v>523</v>
      </c>
      <c r="J52" s="4"/>
      <c r="K52" s="6"/>
      <c r="L52" s="6"/>
      <c r="P52" s="6">
        <f>IF(A52="","",SUMIF(ABONOS!$B$2:$B$220,A52,ABONOS!$E$2:$E$220))</f>
        <v>0</v>
      </c>
      <c r="Q52" s="6">
        <f t="shared" si="2"/>
        <v>0</v>
      </c>
      <c r="R52" s="8" t="str">
        <f t="shared" si="3"/>
        <v/>
      </c>
    </row>
    <row r="53" spans="1:18">
      <c r="A53" t="s">
        <v>286</v>
      </c>
      <c r="B53" t="s">
        <v>165</v>
      </c>
      <c r="C53" s="11" t="s">
        <v>206</v>
      </c>
      <c r="D53" s="12">
        <v>560</v>
      </c>
      <c r="E53" s="11" t="s">
        <v>349</v>
      </c>
      <c r="F53">
        <v>16862434</v>
      </c>
      <c r="G53">
        <v>3174211264</v>
      </c>
      <c r="H53" s="15" t="s">
        <v>350</v>
      </c>
      <c r="I53" t="s">
        <v>351</v>
      </c>
      <c r="J53" s="4">
        <v>46253</v>
      </c>
      <c r="K53" s="6">
        <v>97435897</v>
      </c>
      <c r="L53" s="6">
        <v>48717948</v>
      </c>
      <c r="P53" s="6">
        <f>IF(A53="","",SUMIF(ABONOS!$B$2:$B$220,A53,ABONOS!$E$2:$E$220))</f>
        <v>30000000</v>
      </c>
      <c r="Q53" s="6">
        <f t="shared" si="2"/>
        <v>67435897</v>
      </c>
      <c r="R53" s="8">
        <f t="shared" si="3"/>
        <v>0.30789473821952912</v>
      </c>
    </row>
    <row r="54" spans="1:18">
      <c r="A54" t="s">
        <v>287</v>
      </c>
      <c r="B54" t="s">
        <v>165</v>
      </c>
      <c r="C54" s="11" t="s">
        <v>207</v>
      </c>
      <c r="D54" s="12">
        <v>504</v>
      </c>
      <c r="J54" s="4"/>
      <c r="K54" s="6"/>
      <c r="L54" s="6"/>
      <c r="P54" s="6">
        <f>IF(A54="","",SUMIF(ABONOS!$B$2:$B$220,A54,ABONOS!$E$2:$E$220))</f>
        <v>0</v>
      </c>
      <c r="Q54" s="6">
        <f t="shared" si="2"/>
        <v>0</v>
      </c>
      <c r="R54" s="8" t="str">
        <f t="shared" si="3"/>
        <v/>
      </c>
    </row>
    <row r="55" spans="1:18">
      <c r="A55" t="s">
        <v>288</v>
      </c>
      <c r="B55" t="s">
        <v>165</v>
      </c>
      <c r="C55" s="11" t="s">
        <v>208</v>
      </c>
      <c r="D55" s="12">
        <v>500</v>
      </c>
      <c r="E55" s="11" t="s">
        <v>363</v>
      </c>
      <c r="F55">
        <v>1113626660</v>
      </c>
      <c r="G55">
        <v>3108303822</v>
      </c>
      <c r="H55" s="15" t="s">
        <v>364</v>
      </c>
      <c r="I55" t="s">
        <v>365</v>
      </c>
      <c r="J55" s="4">
        <v>46238</v>
      </c>
      <c r="K55" s="6">
        <v>85000000</v>
      </c>
      <c r="L55" s="6">
        <v>42500000</v>
      </c>
      <c r="P55" s="6">
        <f>IF(A55="","",SUMIF(ABONOS!$B$2:$B$220,A55,ABONOS!$E$2:$E$220))</f>
        <v>75000000</v>
      </c>
      <c r="Q55" s="6">
        <f t="shared" si="2"/>
        <v>10000000</v>
      </c>
      <c r="R55" s="8">
        <f t="shared" si="3"/>
        <v>0.88235294117647056</v>
      </c>
    </row>
    <row r="56" spans="1:18">
      <c r="A56" t="s">
        <v>289</v>
      </c>
      <c r="B56" t="s">
        <v>165</v>
      </c>
      <c r="C56" s="11" t="s">
        <v>209</v>
      </c>
      <c r="D56" s="12">
        <v>500</v>
      </c>
      <c r="E56" s="11" t="s">
        <v>363</v>
      </c>
      <c r="F56">
        <v>1113626660</v>
      </c>
      <c r="G56">
        <v>3108303822</v>
      </c>
      <c r="H56" s="15" t="s">
        <v>364</v>
      </c>
      <c r="I56" t="s">
        <v>365</v>
      </c>
      <c r="J56" s="4">
        <v>46238</v>
      </c>
      <c r="K56" s="6">
        <v>85000000</v>
      </c>
      <c r="L56" s="6">
        <v>42500000</v>
      </c>
      <c r="P56" s="6">
        <f>IF(A56="","",SUMIF(ABONOS!$B$2:$B$220,A56,ABONOS!$E$2:$E$220))</f>
        <v>75000000</v>
      </c>
      <c r="Q56" s="6">
        <f t="shared" si="2"/>
        <v>10000000</v>
      </c>
      <c r="R56" s="8">
        <f t="shared" si="3"/>
        <v>0.88235294117647056</v>
      </c>
    </row>
    <row r="57" spans="1:18">
      <c r="A57" t="s">
        <v>290</v>
      </c>
      <c r="B57" t="s">
        <v>165</v>
      </c>
      <c r="C57" s="11" t="s">
        <v>210</v>
      </c>
      <c r="D57" s="12">
        <v>500</v>
      </c>
      <c r="J57" s="4"/>
      <c r="K57" s="6"/>
      <c r="L57" s="6"/>
      <c r="P57" s="6">
        <f>IF(A57="","",SUMIF(ABONOS!$B$2:$B$220,A57,ABONOS!$E$2:$E$220))</f>
        <v>0</v>
      </c>
      <c r="Q57" s="6">
        <f t="shared" si="2"/>
        <v>0</v>
      </c>
      <c r="R57" s="8" t="str">
        <f t="shared" si="3"/>
        <v/>
      </c>
    </row>
    <row r="58" spans="1:18">
      <c r="A58" t="s">
        <v>291</v>
      </c>
      <c r="B58" t="s">
        <v>165</v>
      </c>
      <c r="C58" s="11" t="s">
        <v>211</v>
      </c>
      <c r="D58" s="12">
        <v>504</v>
      </c>
      <c r="J58" s="4"/>
      <c r="K58" s="6"/>
      <c r="L58" s="6"/>
      <c r="P58" s="6">
        <f>IF(A58="","",SUMIF(ABONOS!$B$2:$B$220,A58,ABONOS!$E$2:$E$220))</f>
        <v>0</v>
      </c>
      <c r="Q58" s="6">
        <f t="shared" si="2"/>
        <v>0</v>
      </c>
      <c r="R58" s="8" t="str">
        <f t="shared" si="3"/>
        <v/>
      </c>
    </row>
    <row r="59" spans="1:18">
      <c r="A59" t="s">
        <v>292</v>
      </c>
      <c r="B59" t="s">
        <v>165</v>
      </c>
      <c r="C59" s="11" t="s">
        <v>212</v>
      </c>
      <c r="D59" s="12">
        <v>500</v>
      </c>
      <c r="J59" s="4"/>
      <c r="K59" s="6"/>
      <c r="L59" s="6"/>
      <c r="P59" s="6">
        <f>IF(A59="","",SUMIF(ABONOS!$B$2:$B$220,A59,ABONOS!$E$2:$E$220))</f>
        <v>0</v>
      </c>
      <c r="Q59" s="6">
        <f t="shared" si="2"/>
        <v>0</v>
      </c>
      <c r="R59" s="8" t="str">
        <f t="shared" si="3"/>
        <v/>
      </c>
    </row>
    <row r="60" spans="1:18">
      <c r="A60" t="s">
        <v>293</v>
      </c>
      <c r="B60" t="s">
        <v>165</v>
      </c>
      <c r="C60" s="11" t="s">
        <v>213</v>
      </c>
      <c r="D60" s="12">
        <v>500</v>
      </c>
      <c r="E60" s="11" t="s">
        <v>363</v>
      </c>
      <c r="F60">
        <v>1113626660</v>
      </c>
      <c r="G60">
        <v>3108303822</v>
      </c>
      <c r="H60" s="15" t="s">
        <v>364</v>
      </c>
      <c r="I60" t="s">
        <v>365</v>
      </c>
      <c r="J60" s="4">
        <v>46238</v>
      </c>
      <c r="K60" s="6">
        <v>85000000</v>
      </c>
      <c r="L60" s="6">
        <v>42500000</v>
      </c>
      <c r="P60" s="6">
        <f>IF(A60="","",SUMIF(ABONOS!$B$2:$B$220,A60,ABONOS!$E$2:$E$220))</f>
        <v>75000000</v>
      </c>
      <c r="Q60" s="6">
        <f t="shared" si="2"/>
        <v>10000000</v>
      </c>
      <c r="R60" s="8">
        <f t="shared" si="3"/>
        <v>0.88235294117647056</v>
      </c>
    </row>
    <row r="61" spans="1:18">
      <c r="A61" t="s">
        <v>294</v>
      </c>
      <c r="B61" t="s">
        <v>165</v>
      </c>
      <c r="C61" s="11" t="s">
        <v>214</v>
      </c>
      <c r="D61" s="12">
        <v>503</v>
      </c>
      <c r="J61" s="4"/>
      <c r="K61" s="6"/>
      <c r="L61" s="6"/>
      <c r="P61" s="6">
        <f>IF(A61="","",SUMIF(ABONOS!$B$2:$B$220,A61,ABONOS!$E$2:$E$220))</f>
        <v>0</v>
      </c>
      <c r="Q61" s="6">
        <f t="shared" si="2"/>
        <v>0</v>
      </c>
      <c r="R61" s="8" t="str">
        <f t="shared" si="3"/>
        <v/>
      </c>
    </row>
    <row r="62" spans="1:18">
      <c r="A62" t="s">
        <v>295</v>
      </c>
      <c r="B62" t="s">
        <v>165</v>
      </c>
      <c r="C62" s="11" t="s">
        <v>215</v>
      </c>
      <c r="D62" s="12">
        <v>900</v>
      </c>
      <c r="J62" s="4"/>
      <c r="K62" s="6"/>
      <c r="L62" s="6"/>
      <c r="P62" s="6">
        <f>IF(A62="","",SUMIF(ABONOS!$B$2:$B$220,A62,ABONOS!$E$2:$E$220))</f>
        <v>0</v>
      </c>
      <c r="Q62" s="6">
        <f t="shared" si="2"/>
        <v>0</v>
      </c>
      <c r="R62" s="8" t="str">
        <f t="shared" si="3"/>
        <v/>
      </c>
    </row>
    <row r="63" spans="1:18">
      <c r="A63" t="s">
        <v>296</v>
      </c>
      <c r="B63" t="s">
        <v>165</v>
      </c>
      <c r="C63" s="11" t="s">
        <v>216</v>
      </c>
      <c r="D63" s="12">
        <v>600</v>
      </c>
      <c r="J63" s="4"/>
      <c r="K63" s="6"/>
      <c r="L63" s="6"/>
      <c r="P63" s="6">
        <f>IF(A63="","",SUMIF(ABONOS!$B$2:$B$220,A63,ABONOS!$E$2:$E$220))</f>
        <v>0</v>
      </c>
      <c r="Q63" s="6">
        <f t="shared" si="2"/>
        <v>0</v>
      </c>
      <c r="R63" s="8" t="str">
        <f t="shared" si="3"/>
        <v/>
      </c>
    </row>
    <row r="64" spans="1:18">
      <c r="A64" t="s">
        <v>297</v>
      </c>
      <c r="B64" t="s">
        <v>165</v>
      </c>
      <c r="C64" s="11" t="s">
        <v>217</v>
      </c>
      <c r="D64" s="12">
        <v>500</v>
      </c>
      <c r="J64" s="4"/>
      <c r="K64" s="6"/>
      <c r="L64" s="6"/>
      <c r="P64" s="6">
        <f>IF(A64="","",SUMIF(ABONOS!$B$2:$B$220,A64,ABONOS!$E$2:$E$220))</f>
        <v>0</v>
      </c>
      <c r="Q64" s="6">
        <f t="shared" si="2"/>
        <v>0</v>
      </c>
      <c r="R64" s="8" t="str">
        <f t="shared" si="3"/>
        <v/>
      </c>
    </row>
    <row r="65" spans="1:18">
      <c r="A65" t="s">
        <v>298</v>
      </c>
      <c r="B65" t="s">
        <v>165</v>
      </c>
      <c r="C65" s="11" t="s">
        <v>218</v>
      </c>
      <c r="D65" s="12">
        <v>515</v>
      </c>
      <c r="J65" s="4"/>
      <c r="K65" s="6"/>
      <c r="L65" s="6"/>
      <c r="P65" s="6">
        <f>IF(A65="","",SUMIF(ABONOS!$B$2:$B$220,A65,ABONOS!$E$2:$E$220))</f>
        <v>0</v>
      </c>
      <c r="Q65" s="6">
        <f t="shared" si="2"/>
        <v>0</v>
      </c>
      <c r="R65" s="8" t="str">
        <f t="shared" si="3"/>
        <v/>
      </c>
    </row>
    <row r="66" spans="1:18">
      <c r="A66" t="s">
        <v>299</v>
      </c>
      <c r="B66" t="s">
        <v>165</v>
      </c>
      <c r="C66" s="11" t="s">
        <v>219</v>
      </c>
      <c r="D66" s="12">
        <v>590</v>
      </c>
      <c r="J66" s="4"/>
      <c r="K66" s="6"/>
      <c r="L66" s="6"/>
      <c r="P66" s="6">
        <f>IF(A66="","",SUMIF(ABONOS!$B$2:$B$220,A66,ABONOS!$E$2:$E$220))</f>
        <v>0</v>
      </c>
      <c r="Q66" s="6">
        <f t="shared" ref="Q66:Q97" si="4">IF(A66="","",K66-P66)</f>
        <v>0</v>
      </c>
      <c r="R66" s="8" t="str">
        <f t="shared" ref="R66:R100" si="5">IFERROR(IF(A66="","",P66/K66),"")</f>
        <v/>
      </c>
    </row>
    <row r="67" spans="1:18">
      <c r="A67" t="s">
        <v>300</v>
      </c>
      <c r="B67" t="s">
        <v>165</v>
      </c>
      <c r="C67" s="11" t="s">
        <v>220</v>
      </c>
      <c r="D67" s="12">
        <v>580</v>
      </c>
      <c r="J67" s="4"/>
      <c r="K67" s="6"/>
      <c r="L67" s="6"/>
      <c r="P67" s="6">
        <f>IF(A67="","",SUMIF(ABONOS!$B$2:$B$220,A67,ABONOS!$E$2:$E$220))</f>
        <v>0</v>
      </c>
      <c r="Q67" s="6">
        <f t="shared" si="4"/>
        <v>0</v>
      </c>
      <c r="R67" s="8" t="str">
        <f t="shared" si="5"/>
        <v/>
      </c>
    </row>
    <row r="68" spans="1:18">
      <c r="A68" t="s">
        <v>301</v>
      </c>
      <c r="B68" t="s">
        <v>165</v>
      </c>
      <c r="C68" s="11" t="s">
        <v>221</v>
      </c>
      <c r="D68" s="12">
        <v>698</v>
      </c>
      <c r="J68" s="4"/>
      <c r="K68" s="6"/>
      <c r="L68" s="6"/>
      <c r="P68" s="6">
        <f>IF(A68="","",SUMIF(ABONOS!$B$2:$B$220,A68,ABONOS!$E$2:$E$220))</f>
        <v>0</v>
      </c>
      <c r="Q68" s="6">
        <f t="shared" si="4"/>
        <v>0</v>
      </c>
      <c r="R68" s="8" t="str">
        <f t="shared" si="5"/>
        <v/>
      </c>
    </row>
    <row r="69" spans="1:18">
      <c r="A69" t="s">
        <v>302</v>
      </c>
      <c r="B69" t="s">
        <v>165</v>
      </c>
      <c r="C69" s="11" t="s">
        <v>222</v>
      </c>
      <c r="D69" s="12">
        <v>660</v>
      </c>
      <c r="J69" s="4"/>
      <c r="K69" s="6"/>
      <c r="L69" s="6"/>
      <c r="P69" s="6">
        <f>IF(A69="","",SUMIF(ABONOS!$B$2:$B$220,A69,ABONOS!$E$2:$E$220))</f>
        <v>0</v>
      </c>
      <c r="Q69" s="6">
        <f t="shared" si="4"/>
        <v>0</v>
      </c>
      <c r="R69" s="8" t="str">
        <f t="shared" si="5"/>
        <v/>
      </c>
    </row>
    <row r="70" spans="1:18">
      <c r="A70" t="s">
        <v>303</v>
      </c>
      <c r="B70" t="s">
        <v>165</v>
      </c>
      <c r="C70" s="11" t="s">
        <v>223</v>
      </c>
      <c r="D70" s="12">
        <v>1000</v>
      </c>
      <c r="J70" s="4"/>
      <c r="K70" s="6"/>
      <c r="L70" s="6"/>
      <c r="P70" s="6">
        <f>IF(A70="","",SUMIF(ABONOS!$B$2:$B$220,A70,ABONOS!$E$2:$E$220))</f>
        <v>0</v>
      </c>
      <c r="Q70" s="6">
        <f t="shared" si="4"/>
        <v>0</v>
      </c>
      <c r="R70" s="8" t="str">
        <f t="shared" si="5"/>
        <v/>
      </c>
    </row>
    <row r="71" spans="1:18">
      <c r="A71" t="s">
        <v>304</v>
      </c>
      <c r="B71" t="s">
        <v>165</v>
      </c>
      <c r="C71" s="11" t="s">
        <v>224</v>
      </c>
      <c r="D71" s="12">
        <v>1000</v>
      </c>
      <c r="J71" s="4"/>
      <c r="K71" s="6"/>
      <c r="L71" s="6"/>
      <c r="P71" s="6">
        <f>IF(A71="","",SUMIF(ABONOS!$B$2:$B$220,A71,ABONOS!$E$2:$E$220))</f>
        <v>0</v>
      </c>
      <c r="Q71" s="6">
        <f t="shared" si="4"/>
        <v>0</v>
      </c>
      <c r="R71" s="8" t="str">
        <f t="shared" si="5"/>
        <v/>
      </c>
    </row>
    <row r="72" spans="1:18">
      <c r="A72" t="s">
        <v>305</v>
      </c>
      <c r="B72" t="s">
        <v>165</v>
      </c>
      <c r="C72" s="11" t="s">
        <v>225</v>
      </c>
      <c r="D72" s="12">
        <v>837</v>
      </c>
      <c r="J72" s="4"/>
      <c r="K72" s="6"/>
      <c r="L72" s="6"/>
      <c r="P72" s="6">
        <f>IF(A72="","",SUMIF(ABONOS!$B$2:$B$220,A72,ABONOS!$E$2:$E$220))</f>
        <v>0</v>
      </c>
      <c r="Q72" s="6">
        <f t="shared" si="4"/>
        <v>0</v>
      </c>
      <c r="R72" s="8" t="str">
        <f t="shared" si="5"/>
        <v/>
      </c>
    </row>
    <row r="73" spans="1:18">
      <c r="A73" t="s">
        <v>306</v>
      </c>
      <c r="B73" t="s">
        <v>165</v>
      </c>
      <c r="C73" s="11" t="s">
        <v>226</v>
      </c>
      <c r="D73" s="12">
        <v>500</v>
      </c>
      <c r="J73" s="4"/>
      <c r="K73" s="6"/>
      <c r="L73" s="6"/>
      <c r="P73" s="6">
        <f>IF(A73="","",SUMIF(ABONOS!$B$2:$B$220,A73,ABONOS!$E$2:$E$220))</f>
        <v>0</v>
      </c>
      <c r="Q73" s="6">
        <f t="shared" si="4"/>
        <v>0</v>
      </c>
      <c r="R73" s="8" t="str">
        <f t="shared" si="5"/>
        <v/>
      </c>
    </row>
    <row r="74" spans="1:18">
      <c r="A74" t="s">
        <v>307</v>
      </c>
      <c r="B74" t="s">
        <v>165</v>
      </c>
      <c r="C74" s="11" t="s">
        <v>227</v>
      </c>
      <c r="D74" s="12">
        <v>545</v>
      </c>
      <c r="J74" s="4"/>
      <c r="K74" s="6"/>
      <c r="L74" s="6"/>
      <c r="P74" s="6">
        <f>IF(A74="","",SUMIF(ABONOS!$B$2:$B$220,A74,ABONOS!$E$2:$E$220))</f>
        <v>0</v>
      </c>
      <c r="Q74" s="6">
        <f t="shared" si="4"/>
        <v>0</v>
      </c>
      <c r="R74" s="8" t="str">
        <f t="shared" si="5"/>
        <v/>
      </c>
    </row>
    <row r="75" spans="1:18">
      <c r="A75" t="s">
        <v>308</v>
      </c>
      <c r="B75" t="s">
        <v>165</v>
      </c>
      <c r="C75" s="11" t="s">
        <v>228</v>
      </c>
      <c r="D75" s="12">
        <v>601</v>
      </c>
      <c r="E75" s="11" t="s">
        <v>366</v>
      </c>
      <c r="F75">
        <v>1130679252</v>
      </c>
      <c r="G75">
        <v>3105355638</v>
      </c>
      <c r="H75" s="15" t="s">
        <v>367</v>
      </c>
      <c r="I75" t="s">
        <v>368</v>
      </c>
      <c r="J75" s="4">
        <v>46297</v>
      </c>
      <c r="K75" s="6">
        <v>156260000</v>
      </c>
      <c r="L75" s="6">
        <v>78130000</v>
      </c>
      <c r="M75" t="s">
        <v>337</v>
      </c>
      <c r="N75" t="s">
        <v>335</v>
      </c>
      <c r="P75" s="6">
        <f>IF(A75="","",SUMIF(ABONOS!$B$2:$B$220,A75,ABONOS!$E$2:$E$220))</f>
        <v>62000000</v>
      </c>
      <c r="Q75" s="6">
        <f t="shared" si="4"/>
        <v>94260000</v>
      </c>
      <c r="R75" s="8">
        <f t="shared" si="5"/>
        <v>0.3967746064251888</v>
      </c>
    </row>
    <row r="76" spans="1:18">
      <c r="A76" t="s">
        <v>309</v>
      </c>
      <c r="B76" t="s">
        <v>165</v>
      </c>
      <c r="C76" s="11" t="s">
        <v>229</v>
      </c>
      <c r="D76" s="12">
        <v>539</v>
      </c>
      <c r="J76" s="4"/>
      <c r="K76" s="6"/>
      <c r="L76" s="6"/>
      <c r="P76" s="6">
        <f>IF(A76="","",SUMIF(ABONOS!$B$2:$B$220,A76,ABONOS!$E$2:$E$220))</f>
        <v>0</v>
      </c>
      <c r="Q76" s="6">
        <f t="shared" si="4"/>
        <v>0</v>
      </c>
      <c r="R76" s="8" t="str">
        <f t="shared" si="5"/>
        <v/>
      </c>
    </row>
    <row r="77" spans="1:18">
      <c r="A77" t="s">
        <v>310</v>
      </c>
      <c r="B77" t="s">
        <v>165</v>
      </c>
      <c r="C77" s="11" t="s">
        <v>230</v>
      </c>
      <c r="D77" s="12">
        <v>578</v>
      </c>
      <c r="E77" s="58" t="s">
        <v>342</v>
      </c>
      <c r="F77" s="11">
        <v>31388763</v>
      </c>
      <c r="G77">
        <v>3235829361</v>
      </c>
      <c r="H77" s="15" t="s">
        <v>343</v>
      </c>
      <c r="I77" t="s">
        <v>344</v>
      </c>
      <c r="J77" s="4">
        <v>46303</v>
      </c>
      <c r="K77" s="6">
        <v>150280000</v>
      </c>
      <c r="L77" s="6">
        <v>60000000</v>
      </c>
      <c r="M77" t="s">
        <v>337</v>
      </c>
      <c r="N77" t="s">
        <v>335</v>
      </c>
      <c r="P77" s="6">
        <f>IF(A77="","",SUMIF(ABONOS!$B$2:$B$220,A77,ABONOS!$E$2:$E$220))</f>
        <v>60000000</v>
      </c>
      <c r="Q77" s="6">
        <f t="shared" si="4"/>
        <v>90280000</v>
      </c>
      <c r="R77" s="8">
        <f t="shared" si="5"/>
        <v>0.3992547245142401</v>
      </c>
    </row>
    <row r="78" spans="1:18">
      <c r="A78" t="s">
        <v>311</v>
      </c>
      <c r="B78" t="s">
        <v>165</v>
      </c>
      <c r="C78" s="11" t="s">
        <v>231</v>
      </c>
      <c r="D78" s="12">
        <v>685</v>
      </c>
      <c r="E78" s="11" t="s">
        <v>366</v>
      </c>
      <c r="F78">
        <v>1130679252</v>
      </c>
      <c r="G78">
        <v>3105355638</v>
      </c>
      <c r="H78" s="15" t="s">
        <v>367</v>
      </c>
      <c r="I78" t="s">
        <v>368</v>
      </c>
      <c r="J78" s="4">
        <v>46297</v>
      </c>
      <c r="K78" s="6">
        <v>178100000</v>
      </c>
      <c r="L78" s="6">
        <v>89050000</v>
      </c>
      <c r="P78" s="6">
        <f>IF(A78="","",SUMIF(ABONOS!$B$2:$B$220,A78,ABONOS!$E$2:$E$220))</f>
        <v>62000000</v>
      </c>
      <c r="Q78" s="6">
        <f t="shared" si="4"/>
        <v>116100000</v>
      </c>
      <c r="R78" s="8">
        <f t="shared" si="5"/>
        <v>0.34811903425042112</v>
      </c>
    </row>
    <row r="79" spans="1:18">
      <c r="A79" t="s">
        <v>312</v>
      </c>
      <c r="B79" t="s">
        <v>165</v>
      </c>
      <c r="C79" s="11" t="s">
        <v>232</v>
      </c>
      <c r="D79" s="12">
        <v>2500</v>
      </c>
      <c r="J79" s="4"/>
      <c r="K79" s="6"/>
      <c r="L79" s="6"/>
      <c r="P79" s="6">
        <f>IF(A79="","",SUMIF(ABONOS!$B$2:$B$220,A79,ABONOS!$E$2:$E$220))</f>
        <v>0</v>
      </c>
      <c r="Q79" s="6">
        <f t="shared" si="4"/>
        <v>0</v>
      </c>
      <c r="R79" s="8" t="str">
        <f t="shared" si="5"/>
        <v/>
      </c>
    </row>
    <row r="80" spans="1:18">
      <c r="A80" t="s">
        <v>313</v>
      </c>
      <c r="B80" t="s">
        <v>165</v>
      </c>
      <c r="C80" s="11" t="s">
        <v>233</v>
      </c>
      <c r="D80" s="12">
        <v>300</v>
      </c>
      <c r="J80" s="4"/>
      <c r="K80" s="6"/>
      <c r="L80" s="6"/>
      <c r="P80" s="6">
        <f>IF(A80="","",SUMIF(ABONOS!$B$2:$B$220,A80,ABONOS!$E$2:$E$220))</f>
        <v>0</v>
      </c>
      <c r="Q80" s="6">
        <f t="shared" si="4"/>
        <v>0</v>
      </c>
      <c r="R80" s="8" t="str">
        <f t="shared" si="5"/>
        <v/>
      </c>
    </row>
    <row r="81" spans="1:18">
      <c r="A81" t="s">
        <v>314</v>
      </c>
      <c r="B81" t="s">
        <v>165</v>
      </c>
      <c r="C81" s="11" t="s">
        <v>234</v>
      </c>
      <c r="D81" s="12">
        <v>300</v>
      </c>
      <c r="J81" s="4"/>
      <c r="K81" s="6"/>
      <c r="L81" s="6"/>
      <c r="P81" s="6">
        <f>IF(A81="","",SUMIF(ABONOS!$B$2:$B$220,A81,ABONOS!$E$2:$E$220))</f>
        <v>0</v>
      </c>
      <c r="Q81" s="6">
        <f t="shared" si="4"/>
        <v>0</v>
      </c>
      <c r="R81" s="8" t="str">
        <f t="shared" si="5"/>
        <v/>
      </c>
    </row>
    <row r="82" spans="1:18">
      <c r="A82" t="s">
        <v>315</v>
      </c>
      <c r="B82" t="s">
        <v>165</v>
      </c>
      <c r="C82" s="11" t="s">
        <v>235</v>
      </c>
      <c r="D82" s="12">
        <v>303</v>
      </c>
      <c r="J82" s="4"/>
      <c r="K82" s="6"/>
      <c r="L82" s="6"/>
      <c r="P82" s="6">
        <f>IF(A82="","",SUMIF(ABONOS!$B$2:$B$220,A82,ABONOS!$E$2:$E$220))</f>
        <v>0</v>
      </c>
      <c r="Q82" s="6">
        <f t="shared" si="4"/>
        <v>0</v>
      </c>
      <c r="R82" s="8" t="str">
        <f t="shared" si="5"/>
        <v/>
      </c>
    </row>
    <row r="83" spans="1:18">
      <c r="A83" t="s">
        <v>316</v>
      </c>
      <c r="B83" t="s">
        <v>165</v>
      </c>
      <c r="C83" s="11" t="s">
        <v>236</v>
      </c>
      <c r="D83" s="12">
        <v>300</v>
      </c>
      <c r="J83" s="4"/>
      <c r="K83" s="6"/>
      <c r="L83" s="6"/>
      <c r="P83" s="6">
        <f>IF(A83="","",SUMIF(ABONOS!$B$2:$B$220,A83,ABONOS!$E$2:$E$220))</f>
        <v>0</v>
      </c>
      <c r="Q83" s="6">
        <f t="shared" si="4"/>
        <v>0</v>
      </c>
      <c r="R83" s="8" t="str">
        <f t="shared" si="5"/>
        <v/>
      </c>
    </row>
    <row r="84" spans="1:18">
      <c r="A84" t="s">
        <v>317</v>
      </c>
      <c r="B84" t="s">
        <v>165</v>
      </c>
      <c r="C84" s="11" t="s">
        <v>237</v>
      </c>
      <c r="D84" s="12">
        <v>250</v>
      </c>
      <c r="J84" s="4"/>
      <c r="K84" s="6"/>
      <c r="L84" s="6"/>
      <c r="P84" s="6">
        <f>IF(A84="","",SUMIF(ABONOS!$B$2:$B$220,A84,ABONOS!$E$2:$E$220))</f>
        <v>0</v>
      </c>
      <c r="Q84" s="6">
        <f t="shared" si="4"/>
        <v>0</v>
      </c>
      <c r="R84" s="8" t="str">
        <f t="shared" si="5"/>
        <v/>
      </c>
    </row>
    <row r="85" spans="1:18">
      <c r="A85" t="s">
        <v>318</v>
      </c>
      <c r="B85" t="s">
        <v>165</v>
      </c>
      <c r="C85" s="11" t="s">
        <v>238</v>
      </c>
      <c r="D85" s="12">
        <v>225</v>
      </c>
      <c r="J85" s="4"/>
      <c r="K85" s="6"/>
      <c r="L85" s="6"/>
      <c r="P85" s="6">
        <f>IF(A85="","",SUMIF(ABONOS!$B$2:$B$220,A85,ABONOS!$E$2:$E$220))</f>
        <v>0</v>
      </c>
      <c r="Q85" s="6">
        <f t="shared" si="4"/>
        <v>0</v>
      </c>
      <c r="R85" s="8" t="str">
        <f t="shared" si="5"/>
        <v/>
      </c>
    </row>
    <row r="86" spans="1:18">
      <c r="A86" t="s">
        <v>319</v>
      </c>
      <c r="B86" t="s">
        <v>165</v>
      </c>
      <c r="C86" s="11" t="s">
        <v>239</v>
      </c>
      <c r="D86" s="12">
        <v>335</v>
      </c>
      <c r="J86" s="4"/>
      <c r="K86" s="6"/>
      <c r="L86" s="6"/>
      <c r="P86" s="6">
        <f>IF(A86="","",SUMIF(ABONOS!$B$2:$B$220,A86,ABONOS!$E$2:$E$220))</f>
        <v>0</v>
      </c>
      <c r="Q86" s="6">
        <f t="shared" si="4"/>
        <v>0</v>
      </c>
      <c r="R86" s="8" t="str">
        <f t="shared" si="5"/>
        <v/>
      </c>
    </row>
    <row r="87" spans="1:18">
      <c r="A87" t="s">
        <v>320</v>
      </c>
      <c r="B87" t="s">
        <v>165</v>
      </c>
      <c r="C87" s="11" t="s">
        <v>240</v>
      </c>
      <c r="D87" s="12">
        <v>303</v>
      </c>
      <c r="J87" s="4"/>
      <c r="K87" s="6"/>
      <c r="L87" s="6"/>
      <c r="P87" s="6">
        <f>IF(A87="","",SUMIF(ABONOS!$B$2:$B$220,A87,ABONOS!$E$2:$E$220))</f>
        <v>0</v>
      </c>
      <c r="Q87" s="6">
        <f t="shared" si="4"/>
        <v>0</v>
      </c>
      <c r="R87" s="8" t="str">
        <f t="shared" si="5"/>
        <v/>
      </c>
    </row>
    <row r="88" spans="1:18">
      <c r="A88" t="s">
        <v>321</v>
      </c>
      <c r="B88" t="s">
        <v>165</v>
      </c>
      <c r="C88" s="11" t="s">
        <v>241</v>
      </c>
      <c r="D88" s="12">
        <v>311</v>
      </c>
      <c r="J88" s="4"/>
      <c r="K88" s="6"/>
      <c r="L88" s="6"/>
      <c r="P88" s="6">
        <f>IF(A88="","",SUMIF(ABONOS!$B$2:$B$220,A88,ABONOS!$E$2:$E$220))</f>
        <v>0</v>
      </c>
      <c r="Q88" s="6">
        <f t="shared" si="4"/>
        <v>0</v>
      </c>
      <c r="R88" s="8" t="str">
        <f t="shared" si="5"/>
        <v/>
      </c>
    </row>
    <row r="89" spans="1:18">
      <c r="A89" t="s">
        <v>322</v>
      </c>
      <c r="B89" t="s">
        <v>165</v>
      </c>
      <c r="C89" s="11" t="s">
        <v>242</v>
      </c>
      <c r="D89" s="12">
        <v>311</v>
      </c>
      <c r="J89" s="4"/>
      <c r="K89" s="6"/>
      <c r="L89" s="6"/>
      <c r="P89" s="6">
        <f>IF(A89="","",SUMIF(ABONOS!$B$2:$B$220,A89,ABONOS!$E$2:$E$220))</f>
        <v>0</v>
      </c>
      <c r="Q89" s="6">
        <f t="shared" si="4"/>
        <v>0</v>
      </c>
      <c r="R89" s="8" t="str">
        <f t="shared" si="5"/>
        <v/>
      </c>
    </row>
    <row r="90" spans="1:18">
      <c r="A90" t="s">
        <v>323</v>
      </c>
      <c r="B90" t="s">
        <v>165</v>
      </c>
      <c r="C90" s="11" t="s">
        <v>243</v>
      </c>
      <c r="D90" s="12">
        <v>309</v>
      </c>
      <c r="J90" s="4"/>
      <c r="K90" s="6"/>
      <c r="L90" s="6"/>
      <c r="P90" s="6">
        <f>IF(A90="","",SUMIF(ABONOS!$B$2:$B$220,A90,ABONOS!$E$2:$E$220))</f>
        <v>0</v>
      </c>
      <c r="Q90" s="6">
        <f t="shared" si="4"/>
        <v>0</v>
      </c>
      <c r="R90" s="8" t="str">
        <f t="shared" si="5"/>
        <v/>
      </c>
    </row>
    <row r="91" spans="1:18">
      <c r="A91" t="s">
        <v>324</v>
      </c>
      <c r="B91" t="s">
        <v>165</v>
      </c>
      <c r="C91" s="11" t="s">
        <v>244</v>
      </c>
      <c r="D91" s="12">
        <v>300</v>
      </c>
      <c r="J91" s="4"/>
      <c r="K91" s="6"/>
      <c r="L91" s="6"/>
      <c r="P91" s="6">
        <f>IF(A91="","",SUMIF(ABONOS!$B$2:$B$220,A91,ABONOS!$E$2:$E$220))</f>
        <v>0</v>
      </c>
      <c r="Q91" s="6">
        <f t="shared" si="4"/>
        <v>0</v>
      </c>
      <c r="R91" s="8" t="str">
        <f t="shared" si="5"/>
        <v/>
      </c>
    </row>
    <row r="92" spans="1:18">
      <c r="A92" t="s">
        <v>325</v>
      </c>
      <c r="B92" t="s">
        <v>165</v>
      </c>
      <c r="C92" s="11" t="s">
        <v>245</v>
      </c>
      <c r="D92" s="12">
        <v>366</v>
      </c>
      <c r="J92" s="4"/>
      <c r="K92" s="6"/>
      <c r="L92" s="6"/>
      <c r="P92" s="6">
        <f>IF(A92="","",SUMIF(ABONOS!$B$2:$B$220,A92,ABONOS!$E$2:$E$220))</f>
        <v>0</v>
      </c>
      <c r="Q92" s="6">
        <f t="shared" si="4"/>
        <v>0</v>
      </c>
      <c r="R92" s="8" t="str">
        <f t="shared" si="5"/>
        <v/>
      </c>
    </row>
    <row r="93" spans="1:18">
      <c r="A93" t="s">
        <v>326</v>
      </c>
      <c r="B93" t="s">
        <v>165</v>
      </c>
      <c r="C93" s="11" t="s">
        <v>246</v>
      </c>
      <c r="D93" s="12">
        <v>275</v>
      </c>
      <c r="J93" s="4"/>
      <c r="K93" s="6"/>
      <c r="L93" s="6"/>
      <c r="P93" s="6">
        <f>IF(A93="","",SUMIF(ABONOS!$B$2:$B$220,A93,ABONOS!$E$2:$E$220))</f>
        <v>0</v>
      </c>
      <c r="Q93" s="6">
        <f t="shared" si="4"/>
        <v>0</v>
      </c>
      <c r="R93" s="8" t="str">
        <f t="shared" si="5"/>
        <v/>
      </c>
    </row>
    <row r="94" spans="1:18">
      <c r="A94" t="s">
        <v>327</v>
      </c>
      <c r="B94" t="s">
        <v>165</v>
      </c>
      <c r="C94" s="11" t="s">
        <v>247</v>
      </c>
      <c r="D94" s="12">
        <v>300</v>
      </c>
      <c r="J94" s="4"/>
      <c r="K94" s="6"/>
      <c r="L94" s="6"/>
      <c r="P94" s="6">
        <f>IF(A94="","",SUMIF(ABONOS!$B$2:$B$220,A94,ABONOS!$E$2:$E$220))</f>
        <v>0</v>
      </c>
      <c r="Q94" s="6">
        <f t="shared" si="4"/>
        <v>0</v>
      </c>
      <c r="R94" s="8" t="str">
        <f t="shared" si="5"/>
        <v/>
      </c>
    </row>
    <row r="95" spans="1:18">
      <c r="A95" t="s">
        <v>328</v>
      </c>
      <c r="B95" t="s">
        <v>165</v>
      </c>
      <c r="C95" s="11" t="s">
        <v>248</v>
      </c>
      <c r="D95" s="12">
        <v>315</v>
      </c>
      <c r="J95" s="4"/>
      <c r="K95" s="6"/>
      <c r="L95" s="6"/>
      <c r="P95" s="6">
        <f>IF(A95="","",SUMIF(ABONOS!$B$2:$B$220,A95,ABONOS!$E$2:$E$220))</f>
        <v>0</v>
      </c>
      <c r="Q95" s="6">
        <f t="shared" si="4"/>
        <v>0</v>
      </c>
      <c r="R95" s="8" t="str">
        <f t="shared" si="5"/>
        <v/>
      </c>
    </row>
    <row r="96" spans="1:18">
      <c r="A96" t="s">
        <v>329</v>
      </c>
      <c r="B96" t="s">
        <v>165</v>
      </c>
      <c r="C96" s="11" t="s">
        <v>249</v>
      </c>
      <c r="D96" s="12">
        <v>300</v>
      </c>
      <c r="J96" s="4"/>
      <c r="K96" s="6"/>
      <c r="L96" s="6"/>
      <c r="P96" s="6">
        <f>IF(A96="","",SUMIF(ABONOS!$B$2:$B$220,A96,ABONOS!$E$2:$E$220))</f>
        <v>0</v>
      </c>
      <c r="Q96" s="6">
        <f t="shared" si="4"/>
        <v>0</v>
      </c>
      <c r="R96" s="8" t="str">
        <f t="shared" si="5"/>
        <v/>
      </c>
    </row>
    <row r="97" spans="1:18">
      <c r="A97" t="s">
        <v>330</v>
      </c>
      <c r="B97" t="s">
        <v>165</v>
      </c>
      <c r="C97" s="11" t="s">
        <v>250</v>
      </c>
      <c r="D97" s="12">
        <v>306</v>
      </c>
      <c r="J97" s="4"/>
      <c r="K97" s="6"/>
      <c r="L97" s="6"/>
      <c r="P97" s="6">
        <f>IF(A97="","",SUMIF(ABONOS!$B$2:$B$220,A97,ABONOS!$E$2:$E$220))</f>
        <v>0</v>
      </c>
      <c r="Q97" s="6">
        <f t="shared" si="4"/>
        <v>0</v>
      </c>
      <c r="R97" s="8" t="str">
        <f t="shared" si="5"/>
        <v/>
      </c>
    </row>
    <row r="98" spans="1:18">
      <c r="A98" t="s">
        <v>331</v>
      </c>
      <c r="B98" t="s">
        <v>165</v>
      </c>
      <c r="C98" s="11" t="s">
        <v>251</v>
      </c>
      <c r="D98" s="12">
        <v>323</v>
      </c>
      <c r="J98" s="4"/>
      <c r="K98" s="6"/>
      <c r="L98" s="6"/>
      <c r="P98" s="6">
        <f>IF(A98="","",SUMIF(ABONOS!$B$2:$B$220,A98,ABONOS!$E$2:$E$220))</f>
        <v>0</v>
      </c>
      <c r="Q98" s="6">
        <f t="shared" ref="Q98:Q129" si="6">IF(A98="","",K98-P98)</f>
        <v>0</v>
      </c>
      <c r="R98" s="8" t="str">
        <f t="shared" si="5"/>
        <v/>
      </c>
    </row>
    <row r="99" spans="1:18">
      <c r="A99" t="s">
        <v>332</v>
      </c>
      <c r="B99" t="s">
        <v>165</v>
      </c>
      <c r="C99" s="11" t="s">
        <v>252</v>
      </c>
      <c r="D99" s="12">
        <v>311</v>
      </c>
      <c r="J99" s="4"/>
      <c r="K99" s="6"/>
      <c r="L99" s="6"/>
      <c r="P99" s="6">
        <f>IF(A99="","",SUMIF(ABONOS!$B$2:$B$220,A99,ABONOS!$E$2:$E$220))</f>
        <v>0</v>
      </c>
      <c r="Q99" s="6">
        <f t="shared" si="6"/>
        <v>0</v>
      </c>
      <c r="R99" s="8" t="str">
        <f t="shared" si="5"/>
        <v/>
      </c>
    </row>
    <row r="100" spans="1:18">
      <c r="A100" t="s">
        <v>333</v>
      </c>
      <c r="B100" t="s">
        <v>165</v>
      </c>
      <c r="C100" s="13" t="s">
        <v>253</v>
      </c>
      <c r="D100" s="14">
        <v>262</v>
      </c>
      <c r="J100" s="4"/>
      <c r="K100" s="6"/>
      <c r="L100" s="6"/>
      <c r="P100" s="6">
        <f>IF(A100="","",SUMIF(ABONOS!$B$2:$B$220,A100,ABONOS!$E$2:$E$220))</f>
        <v>0</v>
      </c>
      <c r="Q100" s="6">
        <f t="shared" si="6"/>
        <v>0</v>
      </c>
      <c r="R100" s="8" t="str">
        <f t="shared" si="5"/>
        <v/>
      </c>
    </row>
  </sheetData>
  <autoFilter ref="A1:R100" xr:uid="{00000000-0001-0000-0200-000000000000}"/>
  <phoneticPr fontId="5" type="noConversion"/>
  <hyperlinks>
    <hyperlink ref="H77" r:id="rId1" xr:uid="{D737049F-2126-4721-B17B-975063CB3D64}"/>
    <hyperlink ref="H4" r:id="rId2" xr:uid="{AAA4F09F-724C-4584-81AC-02F217F6980A}"/>
    <hyperlink ref="H5" r:id="rId3" xr:uid="{40516255-50D3-4F2C-BFDF-193847B9A4DE}"/>
    <hyperlink ref="H53" r:id="rId4" xr:uid="{34A51A32-5182-4AE1-A992-2CD90C22BA1D}"/>
    <hyperlink ref="H7" r:id="rId5" xr:uid="{FD62649E-E81B-409C-9C47-19416AEAF492}"/>
    <hyperlink ref="H8" r:id="rId6" xr:uid="{023AE344-9EE8-4312-9394-084962312742}"/>
    <hyperlink ref="H13" r:id="rId7" xr:uid="{EFC27457-1A0D-4487-A393-8B17B6D56B4F}"/>
    <hyperlink ref="H14" r:id="rId8" xr:uid="{34F05A93-FFD2-442F-A07D-7303D8EBBEC0}"/>
    <hyperlink ref="H48" r:id="rId9" xr:uid="{609CBD19-2067-4D5E-8DE2-83D414DE425A}"/>
    <hyperlink ref="H55" r:id="rId10" xr:uid="{3756D267-7579-4A6C-8D6D-6F52CC0E3188}"/>
    <hyperlink ref="H56" r:id="rId11" xr:uid="{B529CDF4-084B-4CD6-81A6-6BE50BEA51D2}"/>
    <hyperlink ref="H60" r:id="rId12" xr:uid="{B7EEDCF8-9AE2-46BE-A852-95FBB8C4B5DF}"/>
    <hyperlink ref="H75" r:id="rId13" xr:uid="{9E205951-F06E-45A7-AE7B-F0BEEBA92F3F}"/>
    <hyperlink ref="H78" r:id="rId14" xr:uid="{B243EC0F-2639-44AB-8C01-9BC1BE01A364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76C0C860-DDFC-47EF-A39B-EE496CA21E58}">
          <x14:formula1>
            <xm:f>GUIA!$E$3:$E$5</xm:f>
          </x14:formula1>
          <xm:sqref>M2:M1048576</xm:sqref>
        </x14:dataValidation>
        <x14:dataValidation type="list" allowBlank="1" showInputMessage="1" showErrorMessage="1" xr:uid="{08F8727B-43D9-42CD-B81B-84AD20CC7E15}">
          <x14:formula1>
            <xm:f>GUIA!$D$3:$D$4</xm:f>
          </x14:formula1>
          <xm:sqref>N2:N1048576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20"/>
  <sheetViews>
    <sheetView workbookViewId="0">
      <pane ySplit="1" topLeftCell="A2" activePane="bottomLeft" state="frozen"/>
      <selection pane="bottomLeft" activeCell="I19" sqref="I19"/>
    </sheetView>
  </sheetViews>
  <sheetFormatPr baseColWidth="10" defaultColWidth="8.796875" defaultRowHeight="13.8"/>
  <cols>
    <col min="1" max="2" width="17" customWidth="1"/>
    <col min="3" max="3" width="20" customWidth="1"/>
    <col min="4" max="4" width="19" customWidth="1"/>
    <col min="5" max="7" width="22" customWidth="1"/>
    <col min="8" max="8" width="29" customWidth="1"/>
  </cols>
  <sheetData>
    <row r="1" spans="1:8" ht="31.95" customHeight="1">
      <c r="A1" s="57" t="s">
        <v>49</v>
      </c>
      <c r="B1" s="57" t="s">
        <v>21</v>
      </c>
      <c r="C1" s="57" t="s">
        <v>50</v>
      </c>
      <c r="D1" s="57" t="s">
        <v>51</v>
      </c>
      <c r="E1" s="57" t="s">
        <v>18</v>
      </c>
      <c r="F1" s="57" t="s">
        <v>19</v>
      </c>
      <c r="G1" s="57" t="s">
        <v>20</v>
      </c>
      <c r="H1" s="57" t="s">
        <v>52</v>
      </c>
    </row>
    <row r="2" spans="1:8">
      <c r="A2" t="s">
        <v>53</v>
      </c>
      <c r="B2" t="s">
        <v>310</v>
      </c>
      <c r="C2">
        <v>1</v>
      </c>
      <c r="D2" s="4">
        <v>46303</v>
      </c>
      <c r="E2" s="6">
        <v>30000000</v>
      </c>
      <c r="F2" t="s">
        <v>345</v>
      </c>
      <c r="G2">
        <v>442774</v>
      </c>
      <c r="H2" t="s">
        <v>346</v>
      </c>
    </row>
    <row r="3" spans="1:8">
      <c r="A3" t="s">
        <v>54</v>
      </c>
      <c r="B3" t="s">
        <v>310</v>
      </c>
      <c r="C3">
        <v>2</v>
      </c>
      <c r="D3" s="4">
        <v>46308</v>
      </c>
      <c r="E3" s="6">
        <v>30000000</v>
      </c>
      <c r="F3" t="s">
        <v>345</v>
      </c>
      <c r="G3">
        <v>23381</v>
      </c>
      <c r="H3" t="s">
        <v>346</v>
      </c>
    </row>
    <row r="4" spans="1:8">
      <c r="A4" t="s">
        <v>55</v>
      </c>
      <c r="B4" t="s">
        <v>43</v>
      </c>
      <c r="C4">
        <v>1</v>
      </c>
      <c r="D4" s="4"/>
      <c r="E4" s="6">
        <v>45000000</v>
      </c>
    </row>
    <row r="5" spans="1:8">
      <c r="A5" t="s">
        <v>56</v>
      </c>
      <c r="B5" t="s">
        <v>35</v>
      </c>
      <c r="C5">
        <v>1</v>
      </c>
      <c r="D5" s="4"/>
      <c r="E5" s="6">
        <v>30000000</v>
      </c>
    </row>
    <row r="6" spans="1:8">
      <c r="A6" t="s">
        <v>57</v>
      </c>
      <c r="B6" t="s">
        <v>37</v>
      </c>
      <c r="C6">
        <v>1</v>
      </c>
      <c r="D6" s="4"/>
      <c r="E6" s="6">
        <v>30000000</v>
      </c>
    </row>
    <row r="7" spans="1:8">
      <c r="A7" t="s">
        <v>58</v>
      </c>
      <c r="B7" t="s">
        <v>286</v>
      </c>
      <c r="C7">
        <v>1</v>
      </c>
      <c r="D7" s="4"/>
      <c r="E7" s="6">
        <v>30000000</v>
      </c>
    </row>
    <row r="8" spans="1:8">
      <c r="A8" t="s">
        <v>59</v>
      </c>
      <c r="B8" t="s">
        <v>40</v>
      </c>
      <c r="C8">
        <v>1</v>
      </c>
      <c r="D8" s="4">
        <v>46274</v>
      </c>
      <c r="E8" s="6">
        <v>18500000</v>
      </c>
      <c r="F8" t="s">
        <v>345</v>
      </c>
      <c r="G8">
        <v>713582</v>
      </c>
      <c r="H8" t="s">
        <v>346</v>
      </c>
    </row>
    <row r="9" spans="1:8">
      <c r="A9" t="s">
        <v>60</v>
      </c>
      <c r="B9" t="s">
        <v>41</v>
      </c>
      <c r="C9">
        <v>1</v>
      </c>
      <c r="D9" s="4">
        <v>46274</v>
      </c>
      <c r="E9" s="6">
        <v>18500000</v>
      </c>
      <c r="F9" t="s">
        <v>345</v>
      </c>
      <c r="G9">
        <v>713582</v>
      </c>
      <c r="H9" t="s">
        <v>346</v>
      </c>
    </row>
    <row r="10" spans="1:8">
      <c r="A10" t="s">
        <v>61</v>
      </c>
      <c r="B10" t="s">
        <v>276</v>
      </c>
      <c r="C10">
        <v>1</v>
      </c>
      <c r="D10" s="4"/>
      <c r="E10" s="6">
        <v>50000000</v>
      </c>
    </row>
    <row r="11" spans="1:8">
      <c r="A11" t="s">
        <v>62</v>
      </c>
      <c r="B11" t="s">
        <v>280</v>
      </c>
      <c r="C11">
        <v>1</v>
      </c>
      <c r="D11" s="4"/>
      <c r="E11" s="6">
        <v>50000000</v>
      </c>
    </row>
    <row r="12" spans="1:8">
      <c r="A12" t="s">
        <v>63</v>
      </c>
      <c r="B12" t="s">
        <v>273</v>
      </c>
      <c r="C12">
        <v>1</v>
      </c>
      <c r="D12" s="4">
        <v>46286</v>
      </c>
      <c r="E12" s="6">
        <v>50000000</v>
      </c>
    </row>
    <row r="13" spans="1:8">
      <c r="A13" t="s">
        <v>64</v>
      </c>
      <c r="B13" t="s">
        <v>279</v>
      </c>
      <c r="C13">
        <v>1</v>
      </c>
      <c r="D13" s="4">
        <v>46286</v>
      </c>
      <c r="E13" s="6">
        <v>50000000</v>
      </c>
    </row>
    <row r="14" spans="1:8">
      <c r="A14" t="s">
        <v>65</v>
      </c>
      <c r="B14" t="s">
        <v>281</v>
      </c>
      <c r="C14">
        <v>1</v>
      </c>
      <c r="D14" s="4"/>
      <c r="E14" s="6">
        <v>75000000</v>
      </c>
    </row>
    <row r="15" spans="1:8">
      <c r="A15" t="s">
        <v>66</v>
      </c>
      <c r="B15" s="11" t="s">
        <v>288</v>
      </c>
      <c r="C15">
        <v>1</v>
      </c>
      <c r="D15" s="4"/>
      <c r="E15" s="6">
        <v>75000000</v>
      </c>
    </row>
    <row r="16" spans="1:8">
      <c r="A16" t="s">
        <v>67</v>
      </c>
      <c r="B16" s="11" t="s">
        <v>289</v>
      </c>
      <c r="C16">
        <v>1</v>
      </c>
      <c r="D16" s="4"/>
      <c r="E16" s="6">
        <v>75000000</v>
      </c>
    </row>
    <row r="17" spans="1:8">
      <c r="A17" t="s">
        <v>68</v>
      </c>
      <c r="B17" s="11" t="s">
        <v>293</v>
      </c>
      <c r="C17">
        <v>1</v>
      </c>
      <c r="D17" s="4"/>
      <c r="E17" s="6">
        <v>75000000</v>
      </c>
    </row>
    <row r="18" spans="1:8">
      <c r="A18" t="s">
        <v>69</v>
      </c>
      <c r="B18" t="s">
        <v>308</v>
      </c>
      <c r="C18">
        <v>1</v>
      </c>
      <c r="D18" s="4">
        <v>46296</v>
      </c>
      <c r="E18" s="6">
        <v>62000000</v>
      </c>
      <c r="F18" t="s">
        <v>345</v>
      </c>
      <c r="H18" t="s">
        <v>346</v>
      </c>
    </row>
    <row r="19" spans="1:8">
      <c r="A19" t="s">
        <v>70</v>
      </c>
      <c r="B19" t="s">
        <v>311</v>
      </c>
      <c r="C19">
        <v>1</v>
      </c>
      <c r="D19" s="4">
        <v>46296</v>
      </c>
      <c r="E19" s="6">
        <v>62000000</v>
      </c>
      <c r="F19" t="s">
        <v>345</v>
      </c>
      <c r="H19" t="s">
        <v>346</v>
      </c>
    </row>
    <row r="20" spans="1:8">
      <c r="A20" t="s">
        <v>71</v>
      </c>
      <c r="D20" s="4"/>
      <c r="E20" s="6"/>
    </row>
    <row r="21" spans="1:8">
      <c r="A21" t="s">
        <v>72</v>
      </c>
      <c r="D21" s="4"/>
      <c r="E21" s="6"/>
    </row>
    <row r="22" spans="1:8">
      <c r="A22" t="s">
        <v>73</v>
      </c>
      <c r="D22" s="4"/>
      <c r="E22" s="6"/>
    </row>
    <row r="23" spans="1:8">
      <c r="A23" t="s">
        <v>74</v>
      </c>
      <c r="D23" s="4"/>
      <c r="E23" s="6"/>
    </row>
    <row r="24" spans="1:8">
      <c r="A24" t="s">
        <v>75</v>
      </c>
      <c r="D24" s="4"/>
      <c r="E24" s="6"/>
    </row>
    <row r="25" spans="1:8">
      <c r="A25" t="s">
        <v>76</v>
      </c>
      <c r="D25" s="4"/>
      <c r="E25" s="6"/>
    </row>
    <row r="26" spans="1:8">
      <c r="A26" t="s">
        <v>77</v>
      </c>
      <c r="D26" s="4"/>
      <c r="E26" s="6"/>
    </row>
    <row r="27" spans="1:8">
      <c r="A27" t="s">
        <v>78</v>
      </c>
      <c r="D27" s="4"/>
      <c r="E27" s="6"/>
    </row>
    <row r="28" spans="1:8">
      <c r="A28" t="s">
        <v>79</v>
      </c>
      <c r="D28" s="4"/>
      <c r="E28" s="6"/>
    </row>
    <row r="29" spans="1:8">
      <c r="A29" t="s">
        <v>80</v>
      </c>
      <c r="D29" s="4"/>
      <c r="E29" s="6"/>
    </row>
    <row r="30" spans="1:8">
      <c r="A30" t="s">
        <v>81</v>
      </c>
      <c r="D30" s="4"/>
      <c r="E30" s="6"/>
    </row>
    <row r="31" spans="1:8">
      <c r="A31" t="s">
        <v>82</v>
      </c>
      <c r="D31" s="4"/>
      <c r="E31" s="6"/>
    </row>
    <row r="32" spans="1:8">
      <c r="A32" t="s">
        <v>83</v>
      </c>
      <c r="D32" s="4"/>
      <c r="E32" s="6"/>
    </row>
    <row r="33" spans="1:5">
      <c r="A33" t="s">
        <v>84</v>
      </c>
      <c r="D33" s="4"/>
      <c r="E33" s="6"/>
    </row>
    <row r="34" spans="1:5">
      <c r="A34" t="s">
        <v>85</v>
      </c>
      <c r="D34" s="4"/>
      <c r="E34" s="6"/>
    </row>
    <row r="35" spans="1:5">
      <c r="A35" t="s">
        <v>86</v>
      </c>
      <c r="D35" s="4"/>
      <c r="E35" s="6"/>
    </row>
    <row r="36" spans="1:5">
      <c r="A36" t="s">
        <v>87</v>
      </c>
      <c r="D36" s="4"/>
      <c r="E36" s="6"/>
    </row>
    <row r="37" spans="1:5">
      <c r="A37" t="s">
        <v>88</v>
      </c>
      <c r="D37" s="4"/>
      <c r="E37" s="6"/>
    </row>
    <row r="38" spans="1:5">
      <c r="A38" t="s">
        <v>89</v>
      </c>
      <c r="D38" s="4"/>
      <c r="E38" s="6"/>
    </row>
    <row r="39" spans="1:5">
      <c r="A39" t="s">
        <v>90</v>
      </c>
      <c r="D39" s="4"/>
      <c r="E39" s="6"/>
    </row>
    <row r="40" spans="1:5">
      <c r="A40" t="s">
        <v>91</v>
      </c>
      <c r="D40" s="4"/>
      <c r="E40" s="6"/>
    </row>
    <row r="41" spans="1:5">
      <c r="A41" t="s">
        <v>92</v>
      </c>
      <c r="D41" s="4"/>
      <c r="E41" s="6"/>
    </row>
    <row r="42" spans="1:5">
      <c r="A42" t="s">
        <v>93</v>
      </c>
      <c r="D42" s="4"/>
      <c r="E42" s="6"/>
    </row>
    <row r="43" spans="1:5">
      <c r="A43" t="s">
        <v>94</v>
      </c>
      <c r="D43" s="4"/>
      <c r="E43" s="6"/>
    </row>
    <row r="44" spans="1:5">
      <c r="A44" t="s">
        <v>166</v>
      </c>
      <c r="D44" s="4"/>
      <c r="E44" s="6"/>
    </row>
    <row r="45" spans="1:5">
      <c r="A45" t="s">
        <v>341</v>
      </c>
      <c r="D45" s="4"/>
      <c r="E45" s="6"/>
    </row>
    <row r="46" spans="1:5">
      <c r="D46" s="4"/>
      <c r="E46" s="6"/>
    </row>
    <row r="47" spans="1:5">
      <c r="D47" s="4"/>
      <c r="E47" s="6"/>
    </row>
    <row r="48" spans="1:5">
      <c r="D48" s="4"/>
      <c r="E48" s="6"/>
    </row>
    <row r="49" spans="4:5">
      <c r="D49" s="4"/>
      <c r="E49" s="6"/>
    </row>
    <row r="50" spans="4:5">
      <c r="D50" s="4"/>
      <c r="E50" s="6"/>
    </row>
    <row r="51" spans="4:5">
      <c r="D51" s="4"/>
      <c r="E51" s="6"/>
    </row>
    <row r="52" spans="4:5">
      <c r="D52" s="4"/>
      <c r="E52" s="6"/>
    </row>
    <row r="53" spans="4:5">
      <c r="D53" s="4"/>
      <c r="E53" s="6"/>
    </row>
    <row r="54" spans="4:5">
      <c r="D54" s="4"/>
      <c r="E54" s="6"/>
    </row>
    <row r="55" spans="4:5">
      <c r="D55" s="4"/>
      <c r="E55" s="6"/>
    </row>
    <row r="56" spans="4:5">
      <c r="D56" s="4"/>
      <c r="E56" s="6"/>
    </row>
    <row r="57" spans="4:5">
      <c r="D57" s="4"/>
      <c r="E57" s="6"/>
    </row>
    <row r="58" spans="4:5">
      <c r="D58" s="4"/>
      <c r="E58" s="6"/>
    </row>
    <row r="59" spans="4:5">
      <c r="D59" s="4"/>
      <c r="E59" s="6"/>
    </row>
    <row r="60" spans="4:5">
      <c r="D60" s="4"/>
      <c r="E60" s="6"/>
    </row>
    <row r="61" spans="4:5">
      <c r="D61" s="4"/>
      <c r="E61" s="6"/>
    </row>
    <row r="62" spans="4:5">
      <c r="D62" s="4"/>
      <c r="E62" s="6"/>
    </row>
    <row r="63" spans="4:5">
      <c r="D63" s="4"/>
      <c r="E63" s="6"/>
    </row>
    <row r="64" spans="4:5">
      <c r="D64" s="4"/>
      <c r="E64" s="6"/>
    </row>
    <row r="65" spans="4:5">
      <c r="D65" s="4"/>
      <c r="E65" s="6"/>
    </row>
    <row r="66" spans="4:5">
      <c r="D66" s="4"/>
      <c r="E66" s="6"/>
    </row>
    <row r="67" spans="4:5">
      <c r="D67" s="4"/>
      <c r="E67" s="6"/>
    </row>
    <row r="68" spans="4:5">
      <c r="D68" s="4"/>
      <c r="E68" s="6"/>
    </row>
    <row r="69" spans="4:5">
      <c r="D69" s="4"/>
      <c r="E69" s="6"/>
    </row>
    <row r="70" spans="4:5">
      <c r="D70" s="4"/>
      <c r="E70" s="6"/>
    </row>
    <row r="71" spans="4:5">
      <c r="D71" s="4"/>
      <c r="E71" s="6"/>
    </row>
    <row r="72" spans="4:5">
      <c r="D72" s="4"/>
      <c r="E72" s="6"/>
    </row>
    <row r="73" spans="4:5">
      <c r="D73" s="4"/>
      <c r="E73" s="6"/>
    </row>
    <row r="74" spans="4:5">
      <c r="D74" s="4"/>
      <c r="E74" s="6"/>
    </row>
    <row r="75" spans="4:5">
      <c r="D75" s="4"/>
      <c r="E75" s="6"/>
    </row>
    <row r="76" spans="4:5">
      <c r="D76" s="4"/>
      <c r="E76" s="6"/>
    </row>
    <row r="77" spans="4:5">
      <c r="D77" s="4"/>
      <c r="E77" s="6"/>
    </row>
    <row r="78" spans="4:5">
      <c r="D78" s="4"/>
      <c r="E78" s="6"/>
    </row>
    <row r="79" spans="4:5">
      <c r="D79" s="4"/>
      <c r="E79" s="6"/>
    </row>
    <row r="80" spans="4:5">
      <c r="D80" s="4"/>
      <c r="E80" s="6"/>
    </row>
    <row r="81" spans="4:5">
      <c r="D81" s="4"/>
      <c r="E81" s="6"/>
    </row>
    <row r="82" spans="4:5">
      <c r="D82" s="4"/>
      <c r="E82" s="6"/>
    </row>
    <row r="83" spans="4:5">
      <c r="D83" s="4"/>
      <c r="E83" s="6"/>
    </row>
    <row r="84" spans="4:5">
      <c r="D84" s="4"/>
      <c r="E84" s="6"/>
    </row>
    <row r="85" spans="4:5">
      <c r="D85" s="4"/>
      <c r="E85" s="6"/>
    </row>
    <row r="86" spans="4:5">
      <c r="D86" s="4"/>
      <c r="E86" s="6"/>
    </row>
    <row r="87" spans="4:5">
      <c r="D87" s="4"/>
      <c r="E87" s="6"/>
    </row>
    <row r="88" spans="4:5">
      <c r="D88" s="4"/>
      <c r="E88" s="6"/>
    </row>
    <row r="89" spans="4:5">
      <c r="D89" s="4"/>
      <c r="E89" s="6"/>
    </row>
    <row r="90" spans="4:5">
      <c r="D90" s="4"/>
      <c r="E90" s="6"/>
    </row>
    <row r="91" spans="4:5">
      <c r="D91" s="4"/>
      <c r="E91" s="6"/>
    </row>
    <row r="92" spans="4:5">
      <c r="D92" s="4"/>
      <c r="E92" s="6"/>
    </row>
    <row r="93" spans="4:5">
      <c r="D93" s="4"/>
      <c r="E93" s="6"/>
    </row>
    <row r="94" spans="4:5">
      <c r="D94" s="4"/>
      <c r="E94" s="6"/>
    </row>
    <row r="95" spans="4:5">
      <c r="D95" s="4"/>
      <c r="E95" s="6"/>
    </row>
    <row r="96" spans="4:5">
      <c r="D96" s="4"/>
      <c r="E96" s="6"/>
    </row>
    <row r="97" spans="4:5">
      <c r="D97" s="4"/>
      <c r="E97" s="6"/>
    </row>
    <row r="98" spans="4:5">
      <c r="D98" s="4"/>
      <c r="E98" s="6"/>
    </row>
    <row r="99" spans="4:5">
      <c r="D99" s="4"/>
      <c r="E99" s="6"/>
    </row>
    <row r="100" spans="4:5">
      <c r="D100" s="4"/>
      <c r="E100" s="6"/>
    </row>
    <row r="101" spans="4:5">
      <c r="D101" s="4"/>
      <c r="E101" s="6"/>
    </row>
    <row r="102" spans="4:5">
      <c r="D102" s="4"/>
      <c r="E102" s="6"/>
    </row>
    <row r="103" spans="4:5">
      <c r="D103" s="4"/>
      <c r="E103" s="6"/>
    </row>
    <row r="104" spans="4:5">
      <c r="D104" s="4"/>
      <c r="E104" s="6"/>
    </row>
    <row r="105" spans="4:5">
      <c r="D105" s="4"/>
      <c r="E105" s="6"/>
    </row>
    <row r="106" spans="4:5">
      <c r="D106" s="4"/>
      <c r="E106" s="6"/>
    </row>
    <row r="107" spans="4:5">
      <c r="D107" s="4"/>
      <c r="E107" s="6"/>
    </row>
    <row r="108" spans="4:5">
      <c r="D108" s="4"/>
      <c r="E108" s="6"/>
    </row>
    <row r="109" spans="4:5">
      <c r="D109" s="4"/>
      <c r="E109" s="6"/>
    </row>
    <row r="110" spans="4:5">
      <c r="D110" s="4"/>
      <c r="E110" s="6"/>
    </row>
    <row r="111" spans="4:5">
      <c r="D111" s="4"/>
      <c r="E111" s="6"/>
    </row>
    <row r="112" spans="4:5">
      <c r="D112" s="4"/>
      <c r="E112" s="6"/>
    </row>
    <row r="113" spans="4:5">
      <c r="D113" s="4"/>
      <c r="E113" s="6"/>
    </row>
    <row r="114" spans="4:5">
      <c r="D114" s="4"/>
      <c r="E114" s="6"/>
    </row>
    <row r="115" spans="4:5">
      <c r="D115" s="4"/>
      <c r="E115" s="6"/>
    </row>
    <row r="116" spans="4:5">
      <c r="D116" s="4"/>
      <c r="E116" s="6"/>
    </row>
    <row r="117" spans="4:5">
      <c r="D117" s="4"/>
      <c r="E117" s="6"/>
    </row>
    <row r="118" spans="4:5">
      <c r="D118" s="4"/>
      <c r="E118" s="6"/>
    </row>
    <row r="119" spans="4:5">
      <c r="D119" s="4"/>
      <c r="E119" s="6"/>
    </row>
    <row r="120" spans="4:5">
      <c r="D120" s="4"/>
      <c r="E120" s="6"/>
    </row>
    <row r="121" spans="4:5">
      <c r="D121" s="4"/>
      <c r="E121" s="6"/>
    </row>
    <row r="122" spans="4:5">
      <c r="D122" s="4"/>
      <c r="E122" s="6"/>
    </row>
    <row r="123" spans="4:5">
      <c r="D123" s="4"/>
      <c r="E123" s="6"/>
    </row>
    <row r="124" spans="4:5">
      <c r="D124" s="4"/>
      <c r="E124" s="6"/>
    </row>
    <row r="125" spans="4:5">
      <c r="D125" s="4"/>
      <c r="E125" s="6"/>
    </row>
    <row r="126" spans="4:5">
      <c r="D126" s="4"/>
      <c r="E126" s="6"/>
    </row>
    <row r="127" spans="4:5">
      <c r="D127" s="4"/>
      <c r="E127" s="6"/>
    </row>
    <row r="128" spans="4:5">
      <c r="D128" s="4"/>
      <c r="E128" s="6"/>
    </row>
    <row r="129" spans="4:5">
      <c r="D129" s="4"/>
      <c r="E129" s="6"/>
    </row>
    <row r="130" spans="4:5">
      <c r="D130" s="4"/>
      <c r="E130" s="6"/>
    </row>
    <row r="131" spans="4:5">
      <c r="D131" s="4"/>
      <c r="E131" s="6"/>
    </row>
    <row r="132" spans="4:5">
      <c r="D132" s="4"/>
      <c r="E132" s="6"/>
    </row>
    <row r="133" spans="4:5">
      <c r="D133" s="4"/>
      <c r="E133" s="6"/>
    </row>
    <row r="134" spans="4:5">
      <c r="D134" s="4"/>
      <c r="E134" s="6"/>
    </row>
    <row r="135" spans="4:5">
      <c r="D135" s="4"/>
      <c r="E135" s="6"/>
    </row>
    <row r="136" spans="4:5">
      <c r="D136" s="4"/>
      <c r="E136" s="6"/>
    </row>
    <row r="137" spans="4:5">
      <c r="D137" s="4"/>
      <c r="E137" s="6"/>
    </row>
    <row r="138" spans="4:5">
      <c r="D138" s="4"/>
      <c r="E138" s="6"/>
    </row>
    <row r="139" spans="4:5">
      <c r="D139" s="4"/>
      <c r="E139" s="6"/>
    </row>
    <row r="140" spans="4:5">
      <c r="D140" s="4"/>
      <c r="E140" s="6"/>
    </row>
    <row r="141" spans="4:5">
      <c r="D141" s="4"/>
      <c r="E141" s="6"/>
    </row>
    <row r="142" spans="4:5">
      <c r="D142" s="4"/>
      <c r="E142" s="6"/>
    </row>
    <row r="143" spans="4:5">
      <c r="D143" s="4"/>
      <c r="E143" s="6"/>
    </row>
    <row r="144" spans="4:5">
      <c r="D144" s="4"/>
      <c r="E144" s="6"/>
    </row>
    <row r="145" spans="4:5">
      <c r="D145" s="4"/>
      <c r="E145" s="6"/>
    </row>
    <row r="146" spans="4:5">
      <c r="D146" s="4"/>
      <c r="E146" s="6"/>
    </row>
    <row r="147" spans="4:5">
      <c r="D147" s="4"/>
      <c r="E147" s="6"/>
    </row>
    <row r="148" spans="4:5">
      <c r="D148" s="4"/>
      <c r="E148" s="6"/>
    </row>
    <row r="149" spans="4:5">
      <c r="D149" s="4"/>
      <c r="E149" s="6"/>
    </row>
    <row r="150" spans="4:5">
      <c r="D150" s="4"/>
      <c r="E150" s="6"/>
    </row>
    <row r="151" spans="4:5">
      <c r="D151" s="4"/>
      <c r="E151" s="6"/>
    </row>
    <row r="152" spans="4:5">
      <c r="D152" s="4"/>
      <c r="E152" s="6"/>
    </row>
    <row r="153" spans="4:5">
      <c r="D153" s="4"/>
      <c r="E153" s="6"/>
    </row>
    <row r="154" spans="4:5">
      <c r="D154" s="4"/>
      <c r="E154" s="6"/>
    </row>
    <row r="155" spans="4:5">
      <c r="D155" s="4"/>
      <c r="E155" s="6"/>
    </row>
    <row r="156" spans="4:5">
      <c r="D156" s="4"/>
      <c r="E156" s="6"/>
    </row>
    <row r="157" spans="4:5">
      <c r="D157" s="4"/>
      <c r="E157" s="6"/>
    </row>
    <row r="158" spans="4:5">
      <c r="D158" s="4"/>
      <c r="E158" s="6"/>
    </row>
    <row r="159" spans="4:5">
      <c r="D159" s="4"/>
      <c r="E159" s="6"/>
    </row>
    <row r="160" spans="4:5">
      <c r="D160" s="4"/>
      <c r="E160" s="6"/>
    </row>
    <row r="161" spans="4:5">
      <c r="D161" s="4"/>
      <c r="E161" s="6"/>
    </row>
    <row r="162" spans="4:5">
      <c r="D162" s="4"/>
      <c r="E162" s="6"/>
    </row>
    <row r="163" spans="4:5">
      <c r="D163" s="4"/>
      <c r="E163" s="6"/>
    </row>
    <row r="164" spans="4:5">
      <c r="D164" s="4"/>
      <c r="E164" s="6"/>
    </row>
    <row r="165" spans="4:5">
      <c r="D165" s="4"/>
      <c r="E165" s="6"/>
    </row>
    <row r="166" spans="4:5">
      <c r="D166" s="4"/>
      <c r="E166" s="6"/>
    </row>
    <row r="167" spans="4:5">
      <c r="D167" s="4"/>
      <c r="E167" s="6"/>
    </row>
    <row r="168" spans="4:5">
      <c r="D168" s="4"/>
      <c r="E168" s="6"/>
    </row>
    <row r="169" spans="4:5">
      <c r="D169" s="4"/>
      <c r="E169" s="6"/>
    </row>
    <row r="170" spans="4:5">
      <c r="D170" s="4"/>
      <c r="E170" s="6"/>
    </row>
    <row r="171" spans="4:5">
      <c r="D171" s="4"/>
      <c r="E171" s="6"/>
    </row>
    <row r="172" spans="4:5">
      <c r="D172" s="4"/>
      <c r="E172" s="6"/>
    </row>
    <row r="173" spans="4:5">
      <c r="D173" s="4"/>
      <c r="E173" s="6"/>
    </row>
    <row r="174" spans="4:5">
      <c r="D174" s="4"/>
      <c r="E174" s="6"/>
    </row>
    <row r="175" spans="4:5">
      <c r="D175" s="4"/>
      <c r="E175" s="6"/>
    </row>
    <row r="176" spans="4:5">
      <c r="D176" s="4"/>
      <c r="E176" s="6"/>
    </row>
    <row r="177" spans="4:5">
      <c r="D177" s="4"/>
      <c r="E177" s="6"/>
    </row>
    <row r="178" spans="4:5">
      <c r="D178" s="4"/>
      <c r="E178" s="6"/>
    </row>
    <row r="179" spans="4:5">
      <c r="D179" s="4"/>
      <c r="E179" s="6"/>
    </row>
    <row r="180" spans="4:5">
      <c r="D180" s="4"/>
      <c r="E180" s="6"/>
    </row>
    <row r="181" spans="4:5">
      <c r="D181" s="4"/>
      <c r="E181" s="6"/>
    </row>
    <row r="182" spans="4:5">
      <c r="D182" s="4"/>
      <c r="E182" s="6"/>
    </row>
    <row r="183" spans="4:5">
      <c r="D183" s="4"/>
      <c r="E183" s="6"/>
    </row>
    <row r="184" spans="4:5">
      <c r="D184" s="4"/>
      <c r="E184" s="6"/>
    </row>
    <row r="185" spans="4:5">
      <c r="D185" s="4"/>
      <c r="E185" s="6"/>
    </row>
    <row r="186" spans="4:5">
      <c r="D186" s="4"/>
      <c r="E186" s="6"/>
    </row>
    <row r="187" spans="4:5">
      <c r="D187" s="4"/>
      <c r="E187" s="6"/>
    </row>
    <row r="188" spans="4:5">
      <c r="D188" s="4"/>
      <c r="E188" s="6"/>
    </row>
    <row r="189" spans="4:5">
      <c r="D189" s="4"/>
      <c r="E189" s="6"/>
    </row>
    <row r="190" spans="4:5">
      <c r="D190" s="4"/>
      <c r="E190" s="6"/>
    </row>
    <row r="191" spans="4:5">
      <c r="D191" s="4"/>
      <c r="E191" s="6"/>
    </row>
    <row r="192" spans="4:5">
      <c r="D192" s="4"/>
      <c r="E192" s="6"/>
    </row>
    <row r="193" spans="4:5">
      <c r="D193" s="4"/>
      <c r="E193" s="6"/>
    </row>
    <row r="194" spans="4:5">
      <c r="D194" s="4"/>
      <c r="E194" s="6"/>
    </row>
    <row r="195" spans="4:5">
      <c r="D195" s="4"/>
      <c r="E195" s="6"/>
    </row>
    <row r="196" spans="4:5">
      <c r="D196" s="4"/>
      <c r="E196" s="6"/>
    </row>
    <row r="197" spans="4:5">
      <c r="D197" s="4"/>
      <c r="E197" s="6"/>
    </row>
    <row r="198" spans="4:5">
      <c r="D198" s="4"/>
      <c r="E198" s="6"/>
    </row>
    <row r="199" spans="4:5">
      <c r="D199" s="4"/>
      <c r="E199" s="6"/>
    </row>
    <row r="200" spans="4:5">
      <c r="D200" s="4"/>
      <c r="E200" s="6"/>
    </row>
    <row r="201" spans="4:5">
      <c r="D201" s="4"/>
      <c r="E201" s="6"/>
    </row>
    <row r="202" spans="4:5">
      <c r="D202" s="4"/>
      <c r="E202" s="6"/>
    </row>
    <row r="203" spans="4:5">
      <c r="D203" s="4"/>
      <c r="E203" s="6"/>
    </row>
    <row r="204" spans="4:5">
      <c r="D204" s="4"/>
      <c r="E204" s="6"/>
    </row>
    <row r="205" spans="4:5">
      <c r="D205" s="4"/>
      <c r="E205" s="6"/>
    </row>
    <row r="206" spans="4:5">
      <c r="D206" s="4"/>
      <c r="E206" s="6"/>
    </row>
    <row r="207" spans="4:5">
      <c r="D207" s="4"/>
      <c r="E207" s="6"/>
    </row>
    <row r="208" spans="4:5">
      <c r="D208" s="4"/>
      <c r="E208" s="6"/>
    </row>
    <row r="209" spans="4:5">
      <c r="D209" s="4"/>
      <c r="E209" s="6"/>
    </row>
    <row r="210" spans="4:5">
      <c r="D210" s="4"/>
      <c r="E210" s="6"/>
    </row>
    <row r="211" spans="4:5">
      <c r="D211" s="4"/>
      <c r="E211" s="6"/>
    </row>
    <row r="212" spans="4:5">
      <c r="D212" s="4"/>
      <c r="E212" s="6"/>
    </row>
    <row r="213" spans="4:5">
      <c r="D213" s="4"/>
      <c r="E213" s="6"/>
    </row>
    <row r="214" spans="4:5">
      <c r="D214" s="4"/>
      <c r="E214" s="6"/>
    </row>
    <row r="215" spans="4:5">
      <c r="D215" s="4"/>
      <c r="E215" s="6"/>
    </row>
    <row r="216" spans="4:5">
      <c r="D216" s="4"/>
      <c r="E216" s="6"/>
    </row>
    <row r="217" spans="4:5">
      <c r="D217" s="4"/>
      <c r="E217" s="6"/>
    </row>
    <row r="218" spans="4:5">
      <c r="D218" s="4"/>
      <c r="E218" s="6"/>
    </row>
    <row r="219" spans="4:5">
      <c r="D219" s="4"/>
      <c r="E219" s="6"/>
    </row>
    <row r="220" spans="4:5">
      <c r="D220" s="4"/>
      <c r="E220" s="6"/>
    </row>
  </sheetData>
  <autoFilter ref="A1:H44" xr:uid="{00000000-0001-0000-0300-000000000000}"/>
  <phoneticPr fontId="5" type="noConversion"/>
  <dataValidations count="1">
    <dataValidation type="list" sqref="F2:F200" xr:uid="{00000000-0002-0000-0300-000000000000}">
      <formula1>"Transferencia,Consignación,Efectivo,PSE,Otro"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4"/>
  <sheetViews>
    <sheetView workbookViewId="0">
      <pane ySplit="1" topLeftCell="A2" activePane="bottomLeft" state="frozen"/>
      <selection pane="bottomLeft" activeCell="A2" sqref="A2"/>
    </sheetView>
  </sheetViews>
  <sheetFormatPr baseColWidth="10" defaultColWidth="8.796875" defaultRowHeight="13.8"/>
  <cols>
    <col min="1" max="1" width="17" customWidth="1"/>
    <col min="2" max="2" width="25" customWidth="1"/>
    <col min="3" max="3" width="22" customWidth="1"/>
    <col min="4" max="4" width="19" customWidth="1"/>
  </cols>
  <sheetData>
    <row r="1" spans="1:4" ht="31.95" customHeight="1">
      <c r="A1" s="3" t="s">
        <v>22</v>
      </c>
      <c r="B1" s="3" t="s">
        <v>0</v>
      </c>
      <c r="C1" s="3" t="s">
        <v>114</v>
      </c>
      <c r="D1" s="3" t="s">
        <v>115</v>
      </c>
    </row>
    <row r="2" spans="1:4">
      <c r="A2" t="s">
        <v>165</v>
      </c>
      <c r="B2" t="s">
        <v>1</v>
      </c>
      <c r="C2" t="s">
        <v>116</v>
      </c>
      <c r="D2">
        <v>100</v>
      </c>
    </row>
    <row r="3" spans="1:4">
      <c r="A3" t="s">
        <v>33</v>
      </c>
      <c r="B3" t="s">
        <v>2</v>
      </c>
      <c r="C3" t="s">
        <v>117</v>
      </c>
      <c r="D3">
        <v>75</v>
      </c>
    </row>
    <row r="4" spans="1:4">
      <c r="A4" t="s">
        <v>36</v>
      </c>
      <c r="B4" t="s">
        <v>3</v>
      </c>
      <c r="C4" t="s">
        <v>118</v>
      </c>
      <c r="D4">
        <v>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20"/>
  <sheetViews>
    <sheetView tabSelected="1" topLeftCell="B1" workbookViewId="0">
      <pane ySplit="1" topLeftCell="A2" activePane="bottomLeft" state="frozen"/>
      <selection pane="bottomLeft" activeCell="H2" sqref="H2"/>
    </sheetView>
  </sheetViews>
  <sheetFormatPr baseColWidth="10" defaultColWidth="8.796875" defaultRowHeight="13.8"/>
  <cols>
    <col min="1" max="1" width="20" customWidth="1"/>
    <col min="2" max="2" width="17" customWidth="1"/>
    <col min="3" max="3" width="16" customWidth="1"/>
    <col min="4" max="4" width="26" customWidth="1"/>
    <col min="5" max="7" width="17" customWidth="1"/>
    <col min="8" max="10" width="22" customWidth="1"/>
  </cols>
  <sheetData>
    <row r="1" spans="1:10" ht="31.95" customHeight="1">
      <c r="A1" s="57" t="s">
        <v>95</v>
      </c>
      <c r="B1" s="57" t="s">
        <v>21</v>
      </c>
      <c r="C1" s="57" t="s">
        <v>96</v>
      </c>
      <c r="D1" s="57" t="s">
        <v>97</v>
      </c>
      <c r="E1" s="57" t="s">
        <v>98</v>
      </c>
      <c r="F1" s="57" t="s">
        <v>339</v>
      </c>
      <c r="G1" s="57" t="s">
        <v>340</v>
      </c>
      <c r="H1" s="56" t="s">
        <v>99</v>
      </c>
      <c r="I1" s="57" t="s">
        <v>100</v>
      </c>
      <c r="J1" s="56" t="s">
        <v>101</v>
      </c>
    </row>
    <row r="2" spans="1:10">
      <c r="A2" t="s">
        <v>102</v>
      </c>
      <c r="E2" s="8"/>
      <c r="F2" s="16"/>
      <c r="G2" s="8"/>
      <c r="H2" s="6" t="str">
        <f>IF(B2="","",IF(C2="Sí",IFERROR(INDEX(VENTAS!$K$2:$K$100,MATCH(B2,VENTAS!$A$2:$A$100,0))*E2,0),0))</f>
        <v/>
      </c>
      <c r="I2" s="6"/>
      <c r="J2" s="6" t="e">
        <f t="shared" ref="J2:J33" si="0">IF(A2="","",H2-I2)</f>
        <v>#VALUE!</v>
      </c>
    </row>
    <row r="3" spans="1:10">
      <c r="A3" t="s">
        <v>103</v>
      </c>
      <c r="E3" s="8"/>
      <c r="F3" s="16"/>
      <c r="G3" s="8"/>
      <c r="H3" s="6" t="str">
        <f>IF(B3="","",IF(C3="Sí",IFERROR(INDEX(VENTAS!$K$2:$K$100,MATCH(B3,VENTAS!$A$2:$A$100,0))*E3,0),0))</f>
        <v/>
      </c>
      <c r="I3" s="6"/>
      <c r="J3" s="6" t="e">
        <f t="shared" si="0"/>
        <v>#VALUE!</v>
      </c>
    </row>
    <row r="4" spans="1:10">
      <c r="A4" t="s">
        <v>104</v>
      </c>
      <c r="E4" s="8"/>
      <c r="F4" s="16"/>
      <c r="G4" s="8"/>
      <c r="H4" s="6" t="str">
        <f>IF(B4="","",IF(C4="Sí",IFERROR(INDEX(VENTAS!$K$2:$K$100,MATCH(B4,VENTAS!$A$2:$A$100,0))*E4,0),0))</f>
        <v/>
      </c>
      <c r="I4" s="6"/>
      <c r="J4" s="6" t="e">
        <f t="shared" si="0"/>
        <v>#VALUE!</v>
      </c>
    </row>
    <row r="5" spans="1:10">
      <c r="A5" t="s">
        <v>105</v>
      </c>
      <c r="E5" s="8"/>
      <c r="F5" s="16"/>
      <c r="G5" s="8"/>
      <c r="H5" s="6" t="str">
        <f>IF(B5="","",IF(C5="Sí",IFERROR(INDEX(VENTAS!$K$2:$K$100,MATCH(B5,VENTAS!$A$2:$A$100,0))*E5,0),0))</f>
        <v/>
      </c>
      <c r="I5" s="6"/>
      <c r="J5" s="6" t="e">
        <f t="shared" si="0"/>
        <v>#VALUE!</v>
      </c>
    </row>
    <row r="6" spans="1:10">
      <c r="A6" t="s">
        <v>106</v>
      </c>
      <c r="E6" s="8"/>
      <c r="F6" s="16"/>
      <c r="G6" s="8"/>
      <c r="H6" s="6" t="str">
        <f>IF(B6="","",IF(C6="Sí",IFERROR(INDEX(VENTAS!$K$2:$K$100,MATCH(B6,VENTAS!$A$2:$A$100,0))*E6,0),0))</f>
        <v/>
      </c>
      <c r="I6" s="6"/>
      <c r="J6" s="6" t="e">
        <f t="shared" si="0"/>
        <v>#VALUE!</v>
      </c>
    </row>
    <row r="7" spans="1:10">
      <c r="A7" t="s">
        <v>107</v>
      </c>
      <c r="E7" s="8"/>
      <c r="F7" s="16"/>
      <c r="G7" s="8"/>
      <c r="H7" s="6" t="str">
        <f>IF(B7="","",IF(C7="Sí",IFERROR(INDEX(VENTAS!$K$2:$K$100,MATCH(B7,VENTAS!$A$2:$A$100,0))*E7,0),0))</f>
        <v/>
      </c>
      <c r="I7" s="6"/>
      <c r="J7" s="6" t="e">
        <f t="shared" si="0"/>
        <v>#VALUE!</v>
      </c>
    </row>
    <row r="8" spans="1:10">
      <c r="A8" t="s">
        <v>108</v>
      </c>
      <c r="E8" s="8"/>
      <c r="F8" s="16"/>
      <c r="G8" s="8"/>
      <c r="H8" s="6" t="str">
        <f>IF(B8="","",IF(C8="Sí",IFERROR(INDEX(VENTAS!$K$2:$K$100,MATCH(B8,VENTAS!$A$2:$A$100,0))*E8,0),0))</f>
        <v/>
      </c>
      <c r="I8" s="6"/>
      <c r="J8" s="6" t="e">
        <f t="shared" si="0"/>
        <v>#VALUE!</v>
      </c>
    </row>
    <row r="9" spans="1:10">
      <c r="A9" t="s">
        <v>109</v>
      </c>
      <c r="E9" s="8"/>
      <c r="F9" s="16"/>
      <c r="G9" s="8"/>
      <c r="H9" s="6" t="str">
        <f>IF(B9="","",IF(C9="Sí",IFERROR(INDEX(VENTAS!$K$2:$K$100,MATCH(B9,VENTAS!$A$2:$A$100,0))*E9,0),0))</f>
        <v/>
      </c>
      <c r="I9" s="6"/>
      <c r="J9" s="6" t="e">
        <f t="shared" si="0"/>
        <v>#VALUE!</v>
      </c>
    </row>
    <row r="10" spans="1:10">
      <c r="A10" t="s">
        <v>110</v>
      </c>
      <c r="E10" s="8"/>
      <c r="F10" s="16"/>
      <c r="G10" s="8"/>
      <c r="H10" s="6" t="str">
        <f>IF(B10="","",IF(C10="Sí",IFERROR(INDEX(VENTAS!$K$2:$K$100,MATCH(B10,VENTAS!$A$2:$A$100,0))*E10,0),0))</f>
        <v/>
      </c>
      <c r="I10" s="6"/>
      <c r="J10" s="6" t="e">
        <f t="shared" si="0"/>
        <v>#VALUE!</v>
      </c>
    </row>
    <row r="11" spans="1:10">
      <c r="A11" t="s">
        <v>111</v>
      </c>
      <c r="E11" s="8"/>
      <c r="F11" s="16"/>
      <c r="G11" s="8"/>
      <c r="H11" s="6" t="str">
        <f>IF(B11="","",IF(C11="Sí",IFERROR(INDEX(VENTAS!$K$2:$K$100,MATCH(B11,VENTAS!$A$2:$A$100,0))*E11,0),0))</f>
        <v/>
      </c>
      <c r="I11" s="6"/>
      <c r="J11" s="6" t="e">
        <f t="shared" si="0"/>
        <v>#VALUE!</v>
      </c>
    </row>
    <row r="12" spans="1:10">
      <c r="A12" t="s">
        <v>112</v>
      </c>
      <c r="E12" s="8"/>
      <c r="F12" s="16"/>
      <c r="G12" s="8"/>
      <c r="H12" s="6" t="str">
        <f>IF(B12="","",IF(C12="Sí",IFERROR(INDEX(VENTAS!$K$2:$K$100,MATCH(B12,VENTAS!$A$2:$A$100,0))*E12,0),0))</f>
        <v/>
      </c>
      <c r="I12" s="6"/>
      <c r="J12" s="6" t="e">
        <f t="shared" si="0"/>
        <v>#VALUE!</v>
      </c>
    </row>
    <row r="13" spans="1:10">
      <c r="A13" t="s">
        <v>113</v>
      </c>
      <c r="E13" s="8"/>
      <c r="F13" s="16"/>
      <c r="G13" s="8"/>
      <c r="H13" s="6" t="str">
        <f>IF(B13="","",IF(C13="Sí",IFERROR(INDEX(VENTAS!$K$2:$K$100,MATCH(B13,VENTAS!$A$2:$A$100,0))*E13,0),0))</f>
        <v/>
      </c>
      <c r="I13" s="6"/>
      <c r="J13" s="6" t="e">
        <f t="shared" si="0"/>
        <v>#VALUE!</v>
      </c>
    </row>
    <row r="14" spans="1:10">
      <c r="A14" t="s">
        <v>338</v>
      </c>
      <c r="E14" s="8"/>
      <c r="F14" s="16"/>
      <c r="G14" s="8"/>
      <c r="H14" s="6" t="str">
        <f>IF(B14="","",IF(C14="Sí",IFERROR(INDEX(VENTAS!$K$2:$K$100,MATCH(B14,VENTAS!$A$2:$A$100,0))*E14,0),0))</f>
        <v/>
      </c>
      <c r="I14" s="6"/>
      <c r="J14" s="6" t="e">
        <f t="shared" si="0"/>
        <v>#VALUE!</v>
      </c>
    </row>
    <row r="15" spans="1:10">
      <c r="E15" s="8"/>
      <c r="F15" s="8"/>
      <c r="G15" s="8"/>
      <c r="H15" s="6" t="str">
        <f>IF(B15="","",IF(C15="Sí",IFERROR(INDEX(VENTAS!$K$2:$K$100,MATCH(B15,VENTAS!$A$2:$A$100,0))*E15,0),0))</f>
        <v/>
      </c>
      <c r="I15" s="6" t="str">
        <f>IF(A15="","",SUMIF(#REF!,A15,#REF!))</f>
        <v/>
      </c>
      <c r="J15" s="6" t="str">
        <f t="shared" si="0"/>
        <v/>
      </c>
    </row>
    <row r="16" spans="1:10">
      <c r="E16" s="8"/>
      <c r="F16" s="8"/>
      <c r="G16" s="8"/>
      <c r="H16" s="6" t="str">
        <f>IF(B16="","",IF(C16="Sí",IFERROR(INDEX(VENTAS!$K$2:$K$100,MATCH(B16,VENTAS!$A$2:$A$100,0))*E16,0),0))</f>
        <v/>
      </c>
      <c r="I16" s="6" t="str">
        <f>IF(A16="","",SUMIF(#REF!,A16,#REF!))</f>
        <v/>
      </c>
      <c r="J16" s="6" t="str">
        <f t="shared" si="0"/>
        <v/>
      </c>
    </row>
    <row r="17" spans="5:10">
      <c r="E17" s="8"/>
      <c r="F17" s="8"/>
      <c r="G17" s="8"/>
      <c r="H17" s="6" t="str">
        <f>IF(B17="","",IF(C17="Sí",IFERROR(INDEX(VENTAS!$K$2:$K$100,MATCH(B17,VENTAS!$A$2:$A$100,0))*E17,0),0))</f>
        <v/>
      </c>
      <c r="I17" s="6" t="str">
        <f>IF(A17="","",SUMIF(#REF!,A17,#REF!))</f>
        <v/>
      </c>
      <c r="J17" s="6" t="str">
        <f t="shared" si="0"/>
        <v/>
      </c>
    </row>
    <row r="18" spans="5:10">
      <c r="E18" s="8"/>
      <c r="F18" s="8"/>
      <c r="G18" s="8"/>
      <c r="H18" s="6" t="str">
        <f>IF(B18="","",IF(C18="Sí",IFERROR(INDEX(VENTAS!$K$2:$K$100,MATCH(B18,VENTAS!$A$2:$A$100,0))*E18,0),0))</f>
        <v/>
      </c>
      <c r="I18" s="6" t="str">
        <f>IF(A18="","",SUMIF(#REF!,A18,#REF!))</f>
        <v/>
      </c>
      <c r="J18" s="6" t="str">
        <f t="shared" si="0"/>
        <v/>
      </c>
    </row>
    <row r="19" spans="5:10">
      <c r="E19" s="8"/>
      <c r="F19" s="8"/>
      <c r="G19" s="8"/>
      <c r="H19" s="6" t="str">
        <f>IF(B19="","",IF(C19="Sí",IFERROR(INDEX(VENTAS!$K$2:$K$100,MATCH(B19,VENTAS!$A$2:$A$100,0))*E19,0),0))</f>
        <v/>
      </c>
      <c r="I19" s="6" t="str">
        <f>IF(A19="","",SUMIF(#REF!,A19,#REF!))</f>
        <v/>
      </c>
      <c r="J19" s="6" t="str">
        <f t="shared" si="0"/>
        <v/>
      </c>
    </row>
    <row r="20" spans="5:10">
      <c r="E20" s="8"/>
      <c r="F20" s="8"/>
      <c r="G20" s="8"/>
      <c r="H20" s="6" t="str">
        <f>IF(B20="","",IF(C20="Sí",IFERROR(INDEX(VENTAS!$K$2:$K$100,MATCH(B20,VENTAS!$A$2:$A$100,0))*E20,0),0))</f>
        <v/>
      </c>
      <c r="I20" s="6" t="str">
        <f>IF(A20="","",SUMIF(#REF!,A20,#REF!))</f>
        <v/>
      </c>
      <c r="J20" s="6" t="str">
        <f t="shared" si="0"/>
        <v/>
      </c>
    </row>
    <row r="21" spans="5:10">
      <c r="E21" s="8"/>
      <c r="F21" s="8"/>
      <c r="G21" s="8"/>
      <c r="H21" s="6" t="str">
        <f>IF(B21="","",IF(C21="Sí",IFERROR(INDEX(VENTAS!$K$2:$K$100,MATCH(B21,VENTAS!$A$2:$A$100,0))*E21,0),0))</f>
        <v/>
      </c>
      <c r="I21" s="6" t="str">
        <f>IF(A21="","",SUMIF(#REF!,A21,#REF!))</f>
        <v/>
      </c>
      <c r="J21" s="6" t="str">
        <f t="shared" si="0"/>
        <v/>
      </c>
    </row>
    <row r="22" spans="5:10">
      <c r="E22" s="8"/>
      <c r="F22" s="8"/>
      <c r="G22" s="8"/>
      <c r="H22" s="6" t="str">
        <f>IF(B22="","",IF(C22="Sí",IFERROR(INDEX(VENTAS!$K$2:$K$100,MATCH(B22,VENTAS!$A$2:$A$100,0))*E22,0),0))</f>
        <v/>
      </c>
      <c r="I22" s="6" t="str">
        <f>IF(A22="","",SUMIF(#REF!,A22,#REF!))</f>
        <v/>
      </c>
      <c r="J22" s="6" t="str">
        <f t="shared" si="0"/>
        <v/>
      </c>
    </row>
    <row r="23" spans="5:10">
      <c r="E23" s="8"/>
      <c r="F23" s="8"/>
      <c r="G23" s="8"/>
      <c r="H23" s="6" t="str">
        <f>IF(B23="","",IF(C23="Sí",IFERROR(INDEX(VENTAS!$K$2:$K$100,MATCH(B23,VENTAS!$A$2:$A$100,0))*E23,0),0))</f>
        <v/>
      </c>
      <c r="I23" s="6" t="str">
        <f>IF(A23="","",SUMIF(#REF!,A23,#REF!))</f>
        <v/>
      </c>
      <c r="J23" s="6" t="str">
        <f t="shared" si="0"/>
        <v/>
      </c>
    </row>
    <row r="24" spans="5:10">
      <c r="E24" s="8"/>
      <c r="F24" s="8"/>
      <c r="G24" s="8"/>
      <c r="H24" s="6" t="str">
        <f>IF(B24="","",IF(C24="Sí",IFERROR(INDEX(VENTAS!$K$2:$K$100,MATCH(B24,VENTAS!$A$2:$A$100,0))*E24,0),0))</f>
        <v/>
      </c>
      <c r="I24" s="6" t="str">
        <f>IF(A24="","",SUMIF(#REF!,A24,#REF!))</f>
        <v/>
      </c>
      <c r="J24" s="6" t="str">
        <f t="shared" si="0"/>
        <v/>
      </c>
    </row>
    <row r="25" spans="5:10">
      <c r="E25" s="8"/>
      <c r="F25" s="8"/>
      <c r="G25" s="8"/>
      <c r="H25" s="6" t="str">
        <f>IF(B25="","",IF(C25="Sí",IFERROR(INDEX(VENTAS!$K$2:$K$100,MATCH(B25,VENTAS!$A$2:$A$100,0))*E25,0),0))</f>
        <v/>
      </c>
      <c r="I25" s="6" t="str">
        <f>IF(A25="","",SUMIF(#REF!,A25,#REF!))</f>
        <v/>
      </c>
      <c r="J25" s="6" t="str">
        <f t="shared" si="0"/>
        <v/>
      </c>
    </row>
    <row r="26" spans="5:10">
      <c r="E26" s="8"/>
      <c r="F26" s="8"/>
      <c r="G26" s="8"/>
      <c r="H26" s="6" t="str">
        <f>IF(B26="","",IF(C26="Sí",IFERROR(INDEX(VENTAS!$K$2:$K$100,MATCH(B26,VENTAS!$A$2:$A$100,0))*E26,0),0))</f>
        <v/>
      </c>
      <c r="I26" s="6" t="str">
        <f>IF(A26="","",SUMIF(#REF!,A26,#REF!))</f>
        <v/>
      </c>
      <c r="J26" s="6" t="str">
        <f t="shared" si="0"/>
        <v/>
      </c>
    </row>
    <row r="27" spans="5:10">
      <c r="E27" s="8"/>
      <c r="F27" s="8"/>
      <c r="G27" s="8"/>
      <c r="H27" s="6" t="str">
        <f>IF(B27="","",IF(C27="Sí",IFERROR(INDEX(VENTAS!$K$2:$K$100,MATCH(B27,VENTAS!$A$2:$A$100,0))*E27,0),0))</f>
        <v/>
      </c>
      <c r="I27" s="6" t="str">
        <f>IF(A27="","",SUMIF(#REF!,A27,#REF!))</f>
        <v/>
      </c>
      <c r="J27" s="6" t="str">
        <f t="shared" si="0"/>
        <v/>
      </c>
    </row>
    <row r="28" spans="5:10">
      <c r="E28" s="8"/>
      <c r="F28" s="8"/>
      <c r="G28" s="8"/>
      <c r="H28" s="6" t="str">
        <f>IF(B28="","",IF(C28="Sí",IFERROR(INDEX(VENTAS!$K$2:$K$100,MATCH(B28,VENTAS!$A$2:$A$100,0))*E28,0),0))</f>
        <v/>
      </c>
      <c r="I28" s="6" t="str">
        <f>IF(A28="","",SUMIF(#REF!,A28,#REF!))</f>
        <v/>
      </c>
      <c r="J28" s="6" t="str">
        <f t="shared" si="0"/>
        <v/>
      </c>
    </row>
    <row r="29" spans="5:10">
      <c r="E29" s="8"/>
      <c r="F29" s="8"/>
      <c r="G29" s="8"/>
      <c r="H29" s="6" t="str">
        <f>IF(B29="","",IF(C29="Sí",IFERROR(INDEX(VENTAS!$K$2:$K$100,MATCH(B29,VENTAS!$A$2:$A$100,0))*E29,0),0))</f>
        <v/>
      </c>
      <c r="I29" s="6" t="str">
        <f>IF(A29="","",SUMIF(#REF!,A29,#REF!))</f>
        <v/>
      </c>
      <c r="J29" s="6" t="str">
        <f t="shared" si="0"/>
        <v/>
      </c>
    </row>
    <row r="30" spans="5:10">
      <c r="E30" s="8"/>
      <c r="F30" s="8"/>
      <c r="G30" s="8"/>
      <c r="H30" s="6" t="str">
        <f>IF(B30="","",IF(C30="Sí",IFERROR(INDEX(VENTAS!$K$2:$K$100,MATCH(B30,VENTAS!$A$2:$A$100,0))*E30,0),0))</f>
        <v/>
      </c>
      <c r="I30" s="6" t="str">
        <f>IF(A30="","",SUMIF(#REF!,A30,#REF!))</f>
        <v/>
      </c>
      <c r="J30" s="6" t="str">
        <f t="shared" si="0"/>
        <v/>
      </c>
    </row>
    <row r="31" spans="5:10">
      <c r="E31" s="8"/>
      <c r="F31" s="8"/>
      <c r="G31" s="8"/>
      <c r="H31" s="6" t="str">
        <f>IF(B31="","",IF(C31="Sí",IFERROR(INDEX(VENTAS!$K$2:$K$100,MATCH(B31,VENTAS!$A$2:$A$100,0))*E31,0),0))</f>
        <v/>
      </c>
      <c r="I31" s="6" t="str">
        <f>IF(A31="","",SUMIF(#REF!,A31,#REF!))</f>
        <v/>
      </c>
      <c r="J31" s="6" t="str">
        <f t="shared" si="0"/>
        <v/>
      </c>
    </row>
    <row r="32" spans="5:10">
      <c r="E32" s="8"/>
      <c r="F32" s="8"/>
      <c r="G32" s="8"/>
      <c r="H32" s="6" t="str">
        <f>IF(B32="","",IF(C32="Sí",IFERROR(INDEX(VENTAS!$K$2:$K$100,MATCH(B32,VENTAS!$A$2:$A$100,0))*E32,0),0))</f>
        <v/>
      </c>
      <c r="I32" s="6" t="str">
        <f>IF(A32="","",SUMIF(#REF!,A32,#REF!))</f>
        <v/>
      </c>
      <c r="J32" s="6" t="str">
        <f t="shared" si="0"/>
        <v/>
      </c>
    </row>
    <row r="33" spans="5:10">
      <c r="E33" s="8"/>
      <c r="F33" s="8"/>
      <c r="G33" s="8"/>
      <c r="H33" s="6" t="str">
        <f>IF(B33="","",IF(C33="Sí",IFERROR(INDEX(VENTAS!$K$2:$K$100,MATCH(B33,VENTAS!$A$2:$A$100,0))*E33,0),0))</f>
        <v/>
      </c>
      <c r="I33" s="6" t="str">
        <f>IF(A33="","",SUMIF(#REF!,A33,#REF!))</f>
        <v/>
      </c>
      <c r="J33" s="6" t="str">
        <f t="shared" si="0"/>
        <v/>
      </c>
    </row>
    <row r="34" spans="5:10">
      <c r="E34" s="8"/>
      <c r="F34" s="8"/>
      <c r="G34" s="8"/>
      <c r="H34" s="6" t="str">
        <f>IF(B34="","",IF(C34="Sí",IFERROR(INDEX(VENTAS!$K$2:$K$100,MATCH(B34,VENTAS!$A$2:$A$100,0))*E34,0),0))</f>
        <v/>
      </c>
      <c r="I34" s="6" t="str">
        <f>IF(A34="","",SUMIF(#REF!,A34,#REF!))</f>
        <v/>
      </c>
      <c r="J34" s="6" t="str">
        <f t="shared" ref="J34:J65" si="1">IF(A34="","",H34-I34)</f>
        <v/>
      </c>
    </row>
    <row r="35" spans="5:10">
      <c r="E35" s="8"/>
      <c r="F35" s="8"/>
      <c r="G35" s="8"/>
      <c r="H35" s="6" t="str">
        <f>IF(B35="","",IF(C35="Sí",IFERROR(INDEX(VENTAS!$K$2:$K$100,MATCH(B35,VENTAS!$A$2:$A$100,0))*E35,0),0))</f>
        <v/>
      </c>
      <c r="I35" s="6" t="str">
        <f>IF(A35="","",SUMIF(#REF!,A35,#REF!))</f>
        <v/>
      </c>
      <c r="J35" s="6" t="str">
        <f t="shared" si="1"/>
        <v/>
      </c>
    </row>
    <row r="36" spans="5:10">
      <c r="E36" s="8"/>
      <c r="F36" s="8"/>
      <c r="G36" s="8"/>
      <c r="H36" s="6" t="str">
        <f>IF(B36="","",IF(C36="Sí",IFERROR(INDEX(VENTAS!$K$2:$K$100,MATCH(B36,VENTAS!$A$2:$A$100,0))*E36,0),0))</f>
        <v/>
      </c>
      <c r="I36" s="6" t="str">
        <f>IF(A36="","",SUMIF(#REF!,A36,#REF!))</f>
        <v/>
      </c>
      <c r="J36" s="6" t="str">
        <f t="shared" si="1"/>
        <v/>
      </c>
    </row>
    <row r="37" spans="5:10">
      <c r="E37" s="8"/>
      <c r="F37" s="8"/>
      <c r="G37" s="8"/>
      <c r="H37" s="6" t="str">
        <f>IF(B37="","",IF(C37="Sí",IFERROR(INDEX(VENTAS!$K$2:$K$100,MATCH(B37,VENTAS!$A$2:$A$100,0))*E37,0),0))</f>
        <v/>
      </c>
      <c r="I37" s="6" t="str">
        <f>IF(A37="","",SUMIF(#REF!,A37,#REF!))</f>
        <v/>
      </c>
      <c r="J37" s="6" t="str">
        <f t="shared" si="1"/>
        <v/>
      </c>
    </row>
    <row r="38" spans="5:10">
      <c r="E38" s="8"/>
      <c r="F38" s="8"/>
      <c r="G38" s="8"/>
      <c r="H38" s="6" t="str">
        <f>IF(B38="","",IF(C38="Sí",IFERROR(INDEX(VENTAS!$K$2:$K$100,MATCH(B38,VENTAS!$A$2:$A$100,0))*E38,0),0))</f>
        <v/>
      </c>
      <c r="I38" s="6" t="str">
        <f>IF(A38="","",SUMIF(#REF!,A38,#REF!))</f>
        <v/>
      </c>
      <c r="J38" s="6" t="str">
        <f t="shared" si="1"/>
        <v/>
      </c>
    </row>
    <row r="39" spans="5:10">
      <c r="E39" s="8"/>
      <c r="F39" s="8"/>
      <c r="G39" s="8"/>
      <c r="H39" s="6" t="str">
        <f>IF(B39="","",IF(C39="Sí",IFERROR(INDEX(VENTAS!$K$2:$K$100,MATCH(B39,VENTAS!$A$2:$A$100,0))*E39,0),0))</f>
        <v/>
      </c>
      <c r="I39" s="6" t="str">
        <f>IF(A39="","",SUMIF(#REF!,A39,#REF!))</f>
        <v/>
      </c>
      <c r="J39" s="6" t="str">
        <f t="shared" si="1"/>
        <v/>
      </c>
    </row>
    <row r="40" spans="5:10">
      <c r="E40" s="8"/>
      <c r="F40" s="8"/>
      <c r="G40" s="8"/>
      <c r="H40" s="6" t="str">
        <f>IF(B40="","",IF(C40="Sí",IFERROR(INDEX(VENTAS!$K$2:$K$100,MATCH(B40,VENTAS!$A$2:$A$100,0))*E40,0),0))</f>
        <v/>
      </c>
      <c r="I40" s="6" t="str">
        <f>IF(A40="","",SUMIF(#REF!,A40,#REF!))</f>
        <v/>
      </c>
      <c r="J40" s="6" t="str">
        <f t="shared" si="1"/>
        <v/>
      </c>
    </row>
    <row r="41" spans="5:10">
      <c r="E41" s="8"/>
      <c r="F41" s="8"/>
      <c r="G41" s="8"/>
      <c r="H41" s="6" t="str">
        <f>IF(B41="","",IF(C41="Sí",IFERROR(INDEX(VENTAS!$K$2:$K$100,MATCH(B41,VENTAS!$A$2:$A$100,0))*E41,0),0))</f>
        <v/>
      </c>
      <c r="I41" s="6" t="str">
        <f>IF(A41="","",SUMIF(#REF!,A41,#REF!))</f>
        <v/>
      </c>
      <c r="J41" s="6" t="str">
        <f t="shared" si="1"/>
        <v/>
      </c>
    </row>
    <row r="42" spans="5:10">
      <c r="E42" s="8"/>
      <c r="F42" s="8"/>
      <c r="G42" s="8"/>
      <c r="H42" s="6" t="str">
        <f>IF(B42="","",IF(C42="Sí",IFERROR(INDEX(VENTAS!$K$2:$K$100,MATCH(B42,VENTAS!$A$2:$A$100,0))*E42,0),0))</f>
        <v/>
      </c>
      <c r="I42" s="6" t="str">
        <f>IF(A42="","",SUMIF(#REF!,A42,#REF!))</f>
        <v/>
      </c>
      <c r="J42" s="6" t="str">
        <f t="shared" si="1"/>
        <v/>
      </c>
    </row>
    <row r="43" spans="5:10">
      <c r="E43" s="8"/>
      <c r="F43" s="8"/>
      <c r="G43" s="8"/>
      <c r="H43" s="6" t="str">
        <f>IF(B43="","",IF(C43="Sí",IFERROR(INDEX(VENTAS!$K$2:$K$100,MATCH(B43,VENTAS!$A$2:$A$100,0))*E43,0),0))</f>
        <v/>
      </c>
      <c r="I43" s="6" t="str">
        <f>IF(A43="","",SUMIF(#REF!,A43,#REF!))</f>
        <v/>
      </c>
      <c r="J43" s="6" t="str">
        <f t="shared" si="1"/>
        <v/>
      </c>
    </row>
    <row r="44" spans="5:10">
      <c r="E44" s="8"/>
      <c r="F44" s="8"/>
      <c r="G44" s="8"/>
      <c r="H44" s="6" t="str">
        <f>IF(B44="","",IF(C44="Sí",IFERROR(INDEX(VENTAS!$K$2:$K$100,MATCH(B44,VENTAS!$A$2:$A$100,0))*E44,0),0))</f>
        <v/>
      </c>
      <c r="I44" s="6" t="str">
        <f>IF(A44="","",SUMIF(#REF!,A44,#REF!))</f>
        <v/>
      </c>
      <c r="J44" s="6" t="str">
        <f t="shared" si="1"/>
        <v/>
      </c>
    </row>
    <row r="45" spans="5:10">
      <c r="E45" s="8"/>
      <c r="F45" s="8"/>
      <c r="G45" s="8"/>
      <c r="H45" s="6" t="str">
        <f>IF(B45="","",IF(C45="Sí",IFERROR(INDEX(VENTAS!$K$2:$K$100,MATCH(B45,VENTAS!$A$2:$A$100,0))*E45,0),0))</f>
        <v/>
      </c>
      <c r="I45" s="6" t="str">
        <f>IF(A45="","",SUMIF(#REF!,A45,#REF!))</f>
        <v/>
      </c>
      <c r="J45" s="6" t="str">
        <f t="shared" si="1"/>
        <v/>
      </c>
    </row>
    <row r="46" spans="5:10">
      <c r="E46" s="8"/>
      <c r="F46" s="8"/>
      <c r="G46" s="8"/>
      <c r="H46" s="6" t="str">
        <f>IF(B46="","",IF(C46="Sí",IFERROR(INDEX(VENTAS!$K$2:$K$100,MATCH(B46,VENTAS!$A$2:$A$100,0))*E46,0),0))</f>
        <v/>
      </c>
      <c r="I46" s="6" t="str">
        <f>IF(A46="","",SUMIF(#REF!,A46,#REF!))</f>
        <v/>
      </c>
      <c r="J46" s="6" t="str">
        <f t="shared" si="1"/>
        <v/>
      </c>
    </row>
    <row r="47" spans="5:10">
      <c r="E47" s="8"/>
      <c r="F47" s="8"/>
      <c r="G47" s="8"/>
      <c r="H47" s="6" t="str">
        <f>IF(B47="","",IF(C47="Sí",IFERROR(INDEX(VENTAS!$K$2:$K$100,MATCH(B47,VENTAS!$A$2:$A$100,0))*E47,0),0))</f>
        <v/>
      </c>
      <c r="I47" s="6" t="str">
        <f>IF(A47="","",SUMIF(#REF!,A47,#REF!))</f>
        <v/>
      </c>
      <c r="J47" s="6" t="str">
        <f t="shared" si="1"/>
        <v/>
      </c>
    </row>
    <row r="48" spans="5:10">
      <c r="E48" s="8"/>
      <c r="F48" s="8"/>
      <c r="G48" s="8"/>
      <c r="H48" s="6" t="str">
        <f>IF(B48="","",IF(C48="Sí",IFERROR(INDEX(VENTAS!$K$2:$K$100,MATCH(B48,VENTAS!$A$2:$A$100,0))*E48,0),0))</f>
        <v/>
      </c>
      <c r="I48" s="6" t="str">
        <f>IF(A48="","",SUMIF(#REF!,A48,#REF!))</f>
        <v/>
      </c>
      <c r="J48" s="6" t="str">
        <f t="shared" si="1"/>
        <v/>
      </c>
    </row>
    <row r="49" spans="5:10">
      <c r="E49" s="8"/>
      <c r="F49" s="8"/>
      <c r="G49" s="8"/>
      <c r="H49" s="6" t="str">
        <f>IF(B49="","",IF(C49="Sí",IFERROR(INDEX(VENTAS!$K$2:$K$100,MATCH(B49,VENTAS!$A$2:$A$100,0))*E49,0),0))</f>
        <v/>
      </c>
      <c r="I49" s="6" t="str">
        <f>IF(A49="","",SUMIF(#REF!,A49,#REF!))</f>
        <v/>
      </c>
      <c r="J49" s="6" t="str">
        <f t="shared" si="1"/>
        <v/>
      </c>
    </row>
    <row r="50" spans="5:10">
      <c r="E50" s="8"/>
      <c r="F50" s="8"/>
      <c r="G50" s="8"/>
      <c r="H50" s="6" t="str">
        <f>IF(B50="","",IF(C50="Sí",IFERROR(INDEX(VENTAS!$K$2:$K$100,MATCH(B50,VENTAS!$A$2:$A$100,0))*E50,0),0))</f>
        <v/>
      </c>
      <c r="I50" s="6" t="str">
        <f>IF(A50="","",SUMIF(#REF!,A50,#REF!))</f>
        <v/>
      </c>
      <c r="J50" s="6" t="str">
        <f t="shared" si="1"/>
        <v/>
      </c>
    </row>
    <row r="51" spans="5:10">
      <c r="E51" s="8"/>
      <c r="F51" s="8"/>
      <c r="G51" s="8"/>
      <c r="H51" s="6" t="str">
        <f>IF(B51="","",IF(C51="Sí",IFERROR(INDEX(VENTAS!$K$2:$K$100,MATCH(B51,VENTAS!$A$2:$A$100,0))*E51,0),0))</f>
        <v/>
      </c>
      <c r="I51" s="6" t="str">
        <f>IF(A51="","",SUMIF(#REF!,A51,#REF!))</f>
        <v/>
      </c>
      <c r="J51" s="6" t="str">
        <f t="shared" si="1"/>
        <v/>
      </c>
    </row>
    <row r="52" spans="5:10">
      <c r="E52" s="8"/>
      <c r="F52" s="8"/>
      <c r="G52" s="8"/>
      <c r="H52" s="6" t="str">
        <f>IF(B52="","",IF(C52="Sí",IFERROR(INDEX(VENTAS!$K$2:$K$100,MATCH(B52,VENTAS!$A$2:$A$100,0))*E52,0),0))</f>
        <v/>
      </c>
      <c r="I52" s="6" t="str">
        <f>IF(A52="","",SUMIF(#REF!,A52,#REF!))</f>
        <v/>
      </c>
      <c r="J52" s="6" t="str">
        <f t="shared" si="1"/>
        <v/>
      </c>
    </row>
    <row r="53" spans="5:10">
      <c r="E53" s="8"/>
      <c r="F53" s="8"/>
      <c r="G53" s="8"/>
      <c r="H53" s="6" t="str">
        <f>IF(B53="","",IF(C53="Sí",IFERROR(INDEX(VENTAS!$K$2:$K$100,MATCH(B53,VENTAS!$A$2:$A$100,0))*E53,0),0))</f>
        <v/>
      </c>
      <c r="I53" s="6" t="str">
        <f>IF(A53="","",SUMIF(#REF!,A53,#REF!))</f>
        <v/>
      </c>
      <c r="J53" s="6" t="str">
        <f t="shared" si="1"/>
        <v/>
      </c>
    </row>
    <row r="54" spans="5:10">
      <c r="E54" s="8"/>
      <c r="F54" s="8"/>
      <c r="G54" s="8"/>
      <c r="H54" s="6" t="str">
        <f>IF(B54="","",IF(C54="Sí",IFERROR(INDEX(VENTAS!$K$2:$K$100,MATCH(B54,VENTAS!$A$2:$A$100,0))*E54,0),0))</f>
        <v/>
      </c>
      <c r="I54" s="6" t="str">
        <f>IF(A54="","",SUMIF(#REF!,A54,#REF!))</f>
        <v/>
      </c>
      <c r="J54" s="6" t="str">
        <f t="shared" si="1"/>
        <v/>
      </c>
    </row>
    <row r="55" spans="5:10">
      <c r="E55" s="8"/>
      <c r="F55" s="8"/>
      <c r="G55" s="8"/>
      <c r="H55" s="6" t="str">
        <f>IF(B55="","",IF(C55="Sí",IFERROR(INDEX(VENTAS!$K$2:$K$100,MATCH(B55,VENTAS!$A$2:$A$100,0))*E55,0),0))</f>
        <v/>
      </c>
      <c r="I55" s="6" t="str">
        <f>IF(A55="","",SUMIF(#REF!,A55,#REF!))</f>
        <v/>
      </c>
      <c r="J55" s="6" t="str">
        <f t="shared" si="1"/>
        <v/>
      </c>
    </row>
    <row r="56" spans="5:10">
      <c r="E56" s="8"/>
      <c r="F56" s="8"/>
      <c r="G56" s="8"/>
      <c r="H56" s="6" t="str">
        <f>IF(B56="","",IF(C56="Sí",IFERROR(INDEX(VENTAS!$K$2:$K$100,MATCH(B56,VENTAS!$A$2:$A$100,0))*E56,0),0))</f>
        <v/>
      </c>
      <c r="I56" s="6" t="str">
        <f>IF(A56="","",SUMIF(#REF!,A56,#REF!))</f>
        <v/>
      </c>
      <c r="J56" s="6" t="str">
        <f t="shared" si="1"/>
        <v/>
      </c>
    </row>
    <row r="57" spans="5:10">
      <c r="E57" s="8"/>
      <c r="F57" s="8"/>
      <c r="G57" s="8"/>
      <c r="H57" s="6" t="str">
        <f>IF(B57="","",IF(C57="Sí",IFERROR(INDEX(VENTAS!$K$2:$K$100,MATCH(B57,VENTAS!$A$2:$A$100,0))*E57,0),0))</f>
        <v/>
      </c>
      <c r="I57" s="6" t="str">
        <f>IF(A57="","",SUMIF(#REF!,A57,#REF!))</f>
        <v/>
      </c>
      <c r="J57" s="6" t="str">
        <f t="shared" si="1"/>
        <v/>
      </c>
    </row>
    <row r="58" spans="5:10">
      <c r="E58" s="8"/>
      <c r="F58" s="8"/>
      <c r="G58" s="8"/>
      <c r="H58" s="6" t="str">
        <f>IF(B58="","",IF(C58="Sí",IFERROR(INDEX(VENTAS!$K$2:$K$100,MATCH(B58,VENTAS!$A$2:$A$100,0))*E58,0),0))</f>
        <v/>
      </c>
      <c r="I58" s="6" t="str">
        <f>IF(A58="","",SUMIF(#REF!,A58,#REF!))</f>
        <v/>
      </c>
      <c r="J58" s="6" t="str">
        <f t="shared" si="1"/>
        <v/>
      </c>
    </row>
    <row r="59" spans="5:10">
      <c r="E59" s="8"/>
      <c r="F59" s="8"/>
      <c r="G59" s="8"/>
      <c r="H59" s="6" t="str">
        <f>IF(B59="","",IF(C59="Sí",IFERROR(INDEX(VENTAS!$K$2:$K$100,MATCH(B59,VENTAS!$A$2:$A$100,0))*E59,0),0))</f>
        <v/>
      </c>
      <c r="I59" s="6" t="str">
        <f>IF(A59="","",SUMIF(#REF!,A59,#REF!))</f>
        <v/>
      </c>
      <c r="J59" s="6" t="str">
        <f t="shared" si="1"/>
        <v/>
      </c>
    </row>
    <row r="60" spans="5:10">
      <c r="E60" s="8"/>
      <c r="F60" s="8"/>
      <c r="G60" s="8"/>
      <c r="H60" s="6" t="str">
        <f>IF(B60="","",IF(C60="Sí",IFERROR(INDEX(VENTAS!$K$2:$K$100,MATCH(B60,VENTAS!$A$2:$A$100,0))*E60,0),0))</f>
        <v/>
      </c>
      <c r="I60" s="6" t="str">
        <f>IF(A60="","",SUMIF(#REF!,A60,#REF!))</f>
        <v/>
      </c>
      <c r="J60" s="6" t="str">
        <f t="shared" si="1"/>
        <v/>
      </c>
    </row>
    <row r="61" spans="5:10">
      <c r="E61" s="8"/>
      <c r="F61" s="8"/>
      <c r="G61" s="8"/>
      <c r="H61" s="6" t="str">
        <f>IF(B61="","",IF(C61="Sí",IFERROR(INDEX(VENTAS!$K$2:$K$100,MATCH(B61,VENTAS!$A$2:$A$100,0))*E61,0),0))</f>
        <v/>
      </c>
      <c r="I61" s="6" t="str">
        <f>IF(A61="","",SUMIF(#REF!,A61,#REF!))</f>
        <v/>
      </c>
      <c r="J61" s="6" t="str">
        <f t="shared" si="1"/>
        <v/>
      </c>
    </row>
    <row r="62" spans="5:10">
      <c r="E62" s="8"/>
      <c r="F62" s="8"/>
      <c r="G62" s="8"/>
      <c r="H62" s="6" t="str">
        <f>IF(B62="","",IF(C62="Sí",IFERROR(INDEX(VENTAS!$K$2:$K$100,MATCH(B62,VENTAS!$A$2:$A$100,0))*E62,0),0))</f>
        <v/>
      </c>
      <c r="I62" s="6" t="str">
        <f>IF(A62="","",SUMIF(#REF!,A62,#REF!))</f>
        <v/>
      </c>
      <c r="J62" s="6" t="str">
        <f t="shared" si="1"/>
        <v/>
      </c>
    </row>
    <row r="63" spans="5:10">
      <c r="E63" s="8"/>
      <c r="F63" s="8"/>
      <c r="G63" s="8"/>
      <c r="H63" s="6" t="str">
        <f>IF(B63="","",IF(C63="Sí",IFERROR(INDEX(VENTAS!$K$2:$K$100,MATCH(B63,VENTAS!$A$2:$A$100,0))*E63,0),0))</f>
        <v/>
      </c>
      <c r="I63" s="6" t="str">
        <f>IF(A63="","",SUMIF(#REF!,A63,#REF!))</f>
        <v/>
      </c>
      <c r="J63" s="6" t="str">
        <f t="shared" si="1"/>
        <v/>
      </c>
    </row>
    <row r="64" spans="5:10">
      <c r="E64" s="8"/>
      <c r="F64" s="8"/>
      <c r="G64" s="8"/>
      <c r="H64" s="6" t="str">
        <f>IF(B64="","",IF(C64="Sí",IFERROR(INDEX(VENTAS!$K$2:$K$100,MATCH(B64,VENTAS!$A$2:$A$100,0))*E64,0),0))</f>
        <v/>
      </c>
      <c r="I64" s="6" t="str">
        <f>IF(A64="","",SUMIF(#REF!,A64,#REF!))</f>
        <v/>
      </c>
      <c r="J64" s="6" t="str">
        <f t="shared" si="1"/>
        <v/>
      </c>
    </row>
    <row r="65" spans="5:10">
      <c r="E65" s="8"/>
      <c r="F65" s="8"/>
      <c r="G65" s="8"/>
      <c r="H65" s="6" t="str">
        <f>IF(B65="","",IF(C65="Sí",IFERROR(INDEX(VENTAS!$K$2:$K$100,MATCH(B65,VENTAS!$A$2:$A$100,0))*E65,0),0))</f>
        <v/>
      </c>
      <c r="I65" s="6" t="str">
        <f>IF(A65="","",SUMIF(#REF!,A65,#REF!))</f>
        <v/>
      </c>
      <c r="J65" s="6" t="str">
        <f t="shared" si="1"/>
        <v/>
      </c>
    </row>
    <row r="66" spans="5:10">
      <c r="E66" s="8"/>
      <c r="F66" s="8"/>
      <c r="G66" s="8"/>
      <c r="H66" s="6" t="str">
        <f>IF(B66="","",IF(C66="Sí",IFERROR(INDEX(VENTAS!$K$2:$K$100,MATCH(B66,VENTAS!$A$2:$A$100,0))*E66,0),0))</f>
        <v/>
      </c>
      <c r="I66" s="6" t="str">
        <f>IF(A66="","",SUMIF(#REF!,A66,#REF!))</f>
        <v/>
      </c>
      <c r="J66" s="6" t="str">
        <f t="shared" ref="J66:J97" si="2">IF(A66="","",H66-I66)</f>
        <v/>
      </c>
    </row>
    <row r="67" spans="5:10">
      <c r="E67" s="8"/>
      <c r="F67" s="8"/>
      <c r="G67" s="8"/>
      <c r="H67" s="6" t="str">
        <f>IF(B67="","",IF(C67="Sí",IFERROR(INDEX(VENTAS!$K$2:$K$100,MATCH(B67,VENTAS!$A$2:$A$100,0))*E67,0),0))</f>
        <v/>
      </c>
      <c r="I67" s="6" t="str">
        <f>IF(A67="","",SUMIF(#REF!,A67,#REF!))</f>
        <v/>
      </c>
      <c r="J67" s="6" t="str">
        <f t="shared" si="2"/>
        <v/>
      </c>
    </row>
    <row r="68" spans="5:10">
      <c r="E68" s="8"/>
      <c r="F68" s="8"/>
      <c r="G68" s="8"/>
      <c r="H68" s="6" t="str">
        <f>IF(B68="","",IF(C68="Sí",IFERROR(INDEX(VENTAS!$K$2:$K$100,MATCH(B68,VENTAS!$A$2:$A$100,0))*E68,0),0))</f>
        <v/>
      </c>
      <c r="I68" s="6" t="str">
        <f>IF(A68="","",SUMIF(#REF!,A68,#REF!))</f>
        <v/>
      </c>
      <c r="J68" s="6" t="str">
        <f t="shared" si="2"/>
        <v/>
      </c>
    </row>
    <row r="69" spans="5:10">
      <c r="E69" s="8"/>
      <c r="F69" s="8"/>
      <c r="G69" s="8"/>
      <c r="H69" s="6" t="str">
        <f>IF(B69="","",IF(C69="Sí",IFERROR(INDEX(VENTAS!$K$2:$K$100,MATCH(B69,VENTAS!$A$2:$A$100,0))*E69,0),0))</f>
        <v/>
      </c>
      <c r="I69" s="6" t="str">
        <f>IF(A69="","",SUMIF(#REF!,A69,#REF!))</f>
        <v/>
      </c>
      <c r="J69" s="6" t="str">
        <f t="shared" si="2"/>
        <v/>
      </c>
    </row>
    <row r="70" spans="5:10">
      <c r="E70" s="8"/>
      <c r="F70" s="8"/>
      <c r="G70" s="8"/>
      <c r="H70" s="6" t="str">
        <f>IF(B70="","",IF(C70="Sí",IFERROR(INDEX(VENTAS!$K$2:$K$100,MATCH(B70,VENTAS!$A$2:$A$100,0))*E70,0),0))</f>
        <v/>
      </c>
      <c r="I70" s="6" t="str">
        <f>IF(A70="","",SUMIF(#REF!,A70,#REF!))</f>
        <v/>
      </c>
      <c r="J70" s="6" t="str">
        <f t="shared" si="2"/>
        <v/>
      </c>
    </row>
    <row r="71" spans="5:10">
      <c r="E71" s="8"/>
      <c r="F71" s="8"/>
      <c r="G71" s="8"/>
      <c r="H71" s="6" t="str">
        <f>IF(B71="","",IF(C71="Sí",IFERROR(INDEX(VENTAS!$K$2:$K$100,MATCH(B71,VENTAS!$A$2:$A$100,0))*E71,0),0))</f>
        <v/>
      </c>
      <c r="I71" s="6" t="str">
        <f>IF(A71="","",SUMIF(#REF!,A71,#REF!))</f>
        <v/>
      </c>
      <c r="J71" s="6" t="str">
        <f t="shared" si="2"/>
        <v/>
      </c>
    </row>
    <row r="72" spans="5:10">
      <c r="E72" s="8"/>
      <c r="F72" s="8"/>
      <c r="G72" s="8"/>
      <c r="H72" s="6" t="str">
        <f>IF(B72="","",IF(C72="Sí",IFERROR(INDEX(VENTAS!$K$2:$K$100,MATCH(B72,VENTAS!$A$2:$A$100,0))*E72,0),0))</f>
        <v/>
      </c>
      <c r="I72" s="6" t="str">
        <f>IF(A72="","",SUMIF(#REF!,A72,#REF!))</f>
        <v/>
      </c>
      <c r="J72" s="6" t="str">
        <f t="shared" si="2"/>
        <v/>
      </c>
    </row>
    <row r="73" spans="5:10">
      <c r="E73" s="8"/>
      <c r="F73" s="8"/>
      <c r="G73" s="8"/>
      <c r="H73" s="6" t="str">
        <f>IF(B73="","",IF(C73="Sí",IFERROR(INDEX(VENTAS!$K$2:$K$100,MATCH(B73,VENTAS!$A$2:$A$100,0))*E73,0),0))</f>
        <v/>
      </c>
      <c r="I73" s="6" t="str">
        <f>IF(A73="","",SUMIF(#REF!,A73,#REF!))</f>
        <v/>
      </c>
      <c r="J73" s="6" t="str">
        <f t="shared" si="2"/>
        <v/>
      </c>
    </row>
    <row r="74" spans="5:10">
      <c r="E74" s="8"/>
      <c r="F74" s="8"/>
      <c r="G74" s="8"/>
      <c r="H74" s="6" t="str">
        <f>IF(B74="","",IF(C74="Sí",IFERROR(INDEX(VENTAS!$K$2:$K$100,MATCH(B74,VENTAS!$A$2:$A$100,0))*E74,0),0))</f>
        <v/>
      </c>
      <c r="I74" s="6" t="str">
        <f>IF(A74="","",SUMIF(#REF!,A74,#REF!))</f>
        <v/>
      </c>
      <c r="J74" s="6" t="str">
        <f t="shared" si="2"/>
        <v/>
      </c>
    </row>
    <row r="75" spans="5:10">
      <c r="E75" s="8"/>
      <c r="F75" s="8"/>
      <c r="G75" s="8"/>
      <c r="H75" s="6" t="str">
        <f>IF(B75="","",IF(C75="Sí",IFERROR(INDEX(VENTAS!$K$2:$K$100,MATCH(B75,VENTAS!$A$2:$A$100,0))*E75,0),0))</f>
        <v/>
      </c>
      <c r="I75" s="6" t="str">
        <f>IF(A75="","",SUMIF(#REF!,A75,#REF!))</f>
        <v/>
      </c>
      <c r="J75" s="6" t="str">
        <f t="shared" si="2"/>
        <v/>
      </c>
    </row>
    <row r="76" spans="5:10">
      <c r="E76" s="8"/>
      <c r="F76" s="8"/>
      <c r="G76" s="8"/>
      <c r="H76" s="6" t="str">
        <f>IF(B76="","",IF(C76="Sí",IFERROR(INDEX(VENTAS!$K$2:$K$100,MATCH(B76,VENTAS!$A$2:$A$100,0))*E76,0),0))</f>
        <v/>
      </c>
      <c r="I76" s="6" t="str">
        <f>IF(A76="","",SUMIF(#REF!,A76,#REF!))</f>
        <v/>
      </c>
      <c r="J76" s="6" t="str">
        <f t="shared" si="2"/>
        <v/>
      </c>
    </row>
    <row r="77" spans="5:10">
      <c r="E77" s="8"/>
      <c r="F77" s="8"/>
      <c r="G77" s="8"/>
      <c r="H77" s="6" t="str">
        <f>IF(B77="","",IF(C77="Sí",IFERROR(INDEX(VENTAS!$K$2:$K$100,MATCH(B77,VENTAS!$A$2:$A$100,0))*E77,0),0))</f>
        <v/>
      </c>
      <c r="I77" s="6" t="str">
        <f>IF(A77="","",SUMIF(#REF!,A77,#REF!))</f>
        <v/>
      </c>
      <c r="J77" s="6" t="str">
        <f t="shared" si="2"/>
        <v/>
      </c>
    </row>
    <row r="78" spans="5:10">
      <c r="E78" s="8"/>
      <c r="F78" s="8"/>
      <c r="G78" s="8"/>
      <c r="H78" s="6" t="str">
        <f>IF(B78="","",IF(C78="Sí",IFERROR(INDEX(VENTAS!$K$2:$K$100,MATCH(B78,VENTAS!$A$2:$A$100,0))*E78,0),0))</f>
        <v/>
      </c>
      <c r="I78" s="6" t="str">
        <f>IF(A78="","",SUMIF(#REF!,A78,#REF!))</f>
        <v/>
      </c>
      <c r="J78" s="6" t="str">
        <f t="shared" si="2"/>
        <v/>
      </c>
    </row>
    <row r="79" spans="5:10">
      <c r="E79" s="8"/>
      <c r="F79" s="8"/>
      <c r="G79" s="8"/>
      <c r="H79" s="6" t="str">
        <f>IF(B79="","",IF(C79="Sí",IFERROR(INDEX(VENTAS!$K$2:$K$100,MATCH(B79,VENTAS!$A$2:$A$100,0))*E79,0),0))</f>
        <v/>
      </c>
      <c r="I79" s="6" t="str">
        <f>IF(A79="","",SUMIF(#REF!,A79,#REF!))</f>
        <v/>
      </c>
      <c r="J79" s="6" t="str">
        <f t="shared" si="2"/>
        <v/>
      </c>
    </row>
    <row r="80" spans="5:10">
      <c r="E80" s="8"/>
      <c r="F80" s="8"/>
      <c r="G80" s="8"/>
      <c r="H80" s="6" t="str">
        <f>IF(B80="","",IF(C80="Sí",IFERROR(INDEX(VENTAS!$K$2:$K$100,MATCH(B80,VENTAS!$A$2:$A$100,0))*E80,0),0))</f>
        <v/>
      </c>
      <c r="I80" s="6" t="str">
        <f>IF(A80="","",SUMIF(#REF!,A80,#REF!))</f>
        <v/>
      </c>
      <c r="J80" s="6" t="str">
        <f t="shared" si="2"/>
        <v/>
      </c>
    </row>
    <row r="81" spans="5:10">
      <c r="E81" s="8"/>
      <c r="F81" s="8"/>
      <c r="G81" s="8"/>
      <c r="H81" s="6" t="str">
        <f>IF(B81="","",IF(C81="Sí",IFERROR(INDEX(VENTAS!$K$2:$K$100,MATCH(B81,VENTAS!$A$2:$A$100,0))*E81,0),0))</f>
        <v/>
      </c>
      <c r="I81" s="6" t="str">
        <f>IF(A81="","",SUMIF(#REF!,A81,#REF!))</f>
        <v/>
      </c>
      <c r="J81" s="6" t="str">
        <f t="shared" si="2"/>
        <v/>
      </c>
    </row>
    <row r="82" spans="5:10">
      <c r="E82" s="8"/>
      <c r="F82" s="8"/>
      <c r="G82" s="8"/>
      <c r="H82" s="6" t="str">
        <f>IF(B82="","",IF(C82="Sí",IFERROR(INDEX(VENTAS!$K$2:$K$100,MATCH(B82,VENTAS!$A$2:$A$100,0))*E82,0),0))</f>
        <v/>
      </c>
      <c r="I82" s="6" t="str">
        <f>IF(A82="","",SUMIF(#REF!,A82,#REF!))</f>
        <v/>
      </c>
      <c r="J82" s="6" t="str">
        <f t="shared" si="2"/>
        <v/>
      </c>
    </row>
    <row r="83" spans="5:10">
      <c r="E83" s="8"/>
      <c r="F83" s="8"/>
      <c r="G83" s="8"/>
      <c r="H83" s="6" t="str">
        <f>IF(B83="","",IF(C83="Sí",IFERROR(INDEX(VENTAS!$K$2:$K$100,MATCH(B83,VENTAS!$A$2:$A$100,0))*E83,0),0))</f>
        <v/>
      </c>
      <c r="I83" s="6" t="str">
        <f>IF(A83="","",SUMIF(#REF!,A83,#REF!))</f>
        <v/>
      </c>
      <c r="J83" s="6" t="str">
        <f t="shared" si="2"/>
        <v/>
      </c>
    </row>
    <row r="84" spans="5:10">
      <c r="E84" s="8"/>
      <c r="F84" s="8"/>
      <c r="G84" s="8"/>
      <c r="H84" s="6" t="str">
        <f>IF(B84="","",IF(C84="Sí",IFERROR(INDEX(VENTAS!$K$2:$K$100,MATCH(B84,VENTAS!$A$2:$A$100,0))*E84,0),0))</f>
        <v/>
      </c>
      <c r="I84" s="6" t="str">
        <f>IF(A84="","",SUMIF(#REF!,A84,#REF!))</f>
        <v/>
      </c>
      <c r="J84" s="6" t="str">
        <f t="shared" si="2"/>
        <v/>
      </c>
    </row>
    <row r="85" spans="5:10">
      <c r="E85" s="8"/>
      <c r="F85" s="8"/>
      <c r="G85" s="8"/>
      <c r="H85" s="6" t="str">
        <f>IF(B85="","",IF(C85="Sí",IFERROR(INDEX(VENTAS!$K$2:$K$100,MATCH(B85,VENTAS!$A$2:$A$100,0))*E85,0),0))</f>
        <v/>
      </c>
      <c r="I85" s="6" t="str">
        <f>IF(A85="","",SUMIF(#REF!,A85,#REF!))</f>
        <v/>
      </c>
      <c r="J85" s="6" t="str">
        <f t="shared" si="2"/>
        <v/>
      </c>
    </row>
    <row r="86" spans="5:10">
      <c r="E86" s="8"/>
      <c r="F86" s="8"/>
      <c r="G86" s="8"/>
      <c r="H86" s="6" t="str">
        <f>IF(B86="","",IF(C86="Sí",IFERROR(INDEX(VENTAS!$K$2:$K$100,MATCH(B86,VENTAS!$A$2:$A$100,0))*E86,0),0))</f>
        <v/>
      </c>
      <c r="I86" s="6" t="str">
        <f>IF(A86="","",SUMIF(#REF!,A86,#REF!))</f>
        <v/>
      </c>
      <c r="J86" s="6" t="str">
        <f t="shared" si="2"/>
        <v/>
      </c>
    </row>
    <row r="87" spans="5:10">
      <c r="E87" s="8"/>
      <c r="F87" s="8"/>
      <c r="G87" s="8"/>
      <c r="H87" s="6" t="str">
        <f>IF(B87="","",IF(C87="Sí",IFERROR(INDEX(VENTAS!$K$2:$K$100,MATCH(B87,VENTAS!$A$2:$A$100,0))*E87,0),0))</f>
        <v/>
      </c>
      <c r="I87" s="6" t="str">
        <f>IF(A87="","",SUMIF(#REF!,A87,#REF!))</f>
        <v/>
      </c>
      <c r="J87" s="6" t="str">
        <f t="shared" si="2"/>
        <v/>
      </c>
    </row>
    <row r="88" spans="5:10">
      <c r="E88" s="8"/>
      <c r="F88" s="8"/>
      <c r="G88" s="8"/>
      <c r="H88" s="6" t="str">
        <f>IF(B88="","",IF(C88="Sí",IFERROR(INDEX(VENTAS!$K$2:$K$100,MATCH(B88,VENTAS!$A$2:$A$100,0))*E88,0),0))</f>
        <v/>
      </c>
      <c r="I88" s="6" t="str">
        <f>IF(A88="","",SUMIF(#REF!,A88,#REF!))</f>
        <v/>
      </c>
      <c r="J88" s="6" t="str">
        <f t="shared" si="2"/>
        <v/>
      </c>
    </row>
    <row r="89" spans="5:10">
      <c r="E89" s="8"/>
      <c r="F89" s="8"/>
      <c r="G89" s="8"/>
      <c r="H89" s="6" t="str">
        <f>IF(B89="","",IF(C89="Sí",IFERROR(INDEX(VENTAS!$K$2:$K$100,MATCH(B89,VENTAS!$A$2:$A$100,0))*E89,0),0))</f>
        <v/>
      </c>
      <c r="I89" s="6" t="str">
        <f>IF(A89="","",SUMIF(#REF!,A89,#REF!))</f>
        <v/>
      </c>
      <c r="J89" s="6" t="str">
        <f t="shared" si="2"/>
        <v/>
      </c>
    </row>
    <row r="90" spans="5:10">
      <c r="E90" s="8"/>
      <c r="F90" s="8"/>
      <c r="G90" s="8"/>
      <c r="H90" s="6" t="str">
        <f>IF(B90="","",IF(C90="Sí",IFERROR(INDEX(VENTAS!$K$2:$K$100,MATCH(B90,VENTAS!$A$2:$A$100,0))*E90,0),0))</f>
        <v/>
      </c>
      <c r="I90" s="6" t="str">
        <f>IF(A90="","",SUMIF(#REF!,A90,#REF!))</f>
        <v/>
      </c>
      <c r="J90" s="6" t="str">
        <f t="shared" si="2"/>
        <v/>
      </c>
    </row>
    <row r="91" spans="5:10">
      <c r="E91" s="8"/>
      <c r="F91" s="8"/>
      <c r="G91" s="8"/>
      <c r="H91" s="6" t="str">
        <f>IF(B91="","",IF(C91="Sí",IFERROR(INDEX(VENTAS!$K$2:$K$100,MATCH(B91,VENTAS!$A$2:$A$100,0))*E91,0),0))</f>
        <v/>
      </c>
      <c r="I91" s="6" t="str">
        <f>IF(A91="","",SUMIF(#REF!,A91,#REF!))</f>
        <v/>
      </c>
      <c r="J91" s="6" t="str">
        <f t="shared" si="2"/>
        <v/>
      </c>
    </row>
    <row r="92" spans="5:10">
      <c r="E92" s="8"/>
      <c r="F92" s="8"/>
      <c r="G92" s="8"/>
      <c r="H92" s="6" t="str">
        <f>IF(B92="","",IF(C92="Sí",IFERROR(INDEX(VENTAS!$K$2:$K$100,MATCH(B92,VENTAS!$A$2:$A$100,0))*E92,0),0))</f>
        <v/>
      </c>
      <c r="I92" s="6" t="str">
        <f>IF(A92="","",SUMIF(#REF!,A92,#REF!))</f>
        <v/>
      </c>
      <c r="J92" s="6" t="str">
        <f t="shared" si="2"/>
        <v/>
      </c>
    </row>
    <row r="93" spans="5:10">
      <c r="E93" s="8"/>
      <c r="F93" s="8"/>
      <c r="G93" s="8"/>
      <c r="H93" s="6" t="str">
        <f>IF(B93="","",IF(C93="Sí",IFERROR(INDEX(VENTAS!$K$2:$K$100,MATCH(B93,VENTAS!$A$2:$A$100,0))*E93,0),0))</f>
        <v/>
      </c>
      <c r="I93" s="6" t="str">
        <f>IF(A93="","",SUMIF(#REF!,A93,#REF!))</f>
        <v/>
      </c>
      <c r="J93" s="6" t="str">
        <f t="shared" si="2"/>
        <v/>
      </c>
    </row>
    <row r="94" spans="5:10">
      <c r="E94" s="8"/>
      <c r="F94" s="8"/>
      <c r="G94" s="8"/>
      <c r="H94" s="6" t="str">
        <f>IF(B94="","",IF(C94="Sí",IFERROR(INDEX(VENTAS!$K$2:$K$100,MATCH(B94,VENTAS!$A$2:$A$100,0))*E94,0),0))</f>
        <v/>
      </c>
      <c r="I94" s="6" t="str">
        <f>IF(A94="","",SUMIF(#REF!,A94,#REF!))</f>
        <v/>
      </c>
      <c r="J94" s="6" t="str">
        <f t="shared" si="2"/>
        <v/>
      </c>
    </row>
    <row r="95" spans="5:10">
      <c r="E95" s="8"/>
      <c r="F95" s="8"/>
      <c r="G95" s="8"/>
      <c r="H95" s="6" t="str">
        <f>IF(B95="","",IF(C95="Sí",IFERROR(INDEX(VENTAS!$K$2:$K$100,MATCH(B95,VENTAS!$A$2:$A$100,0))*E95,0),0))</f>
        <v/>
      </c>
      <c r="I95" s="6" t="str">
        <f>IF(A95="","",SUMIF(#REF!,A95,#REF!))</f>
        <v/>
      </c>
      <c r="J95" s="6" t="str">
        <f t="shared" si="2"/>
        <v/>
      </c>
    </row>
    <row r="96" spans="5:10">
      <c r="E96" s="8"/>
      <c r="F96" s="8"/>
      <c r="G96" s="8"/>
      <c r="H96" s="6" t="str">
        <f>IF(B96="","",IF(C96="Sí",IFERROR(INDEX(VENTAS!$K$2:$K$100,MATCH(B96,VENTAS!$A$2:$A$100,0))*E96,0),0))</f>
        <v/>
      </c>
      <c r="I96" s="6" t="str">
        <f>IF(A96="","",SUMIF(#REF!,A96,#REF!))</f>
        <v/>
      </c>
      <c r="J96" s="6" t="str">
        <f t="shared" si="2"/>
        <v/>
      </c>
    </row>
    <row r="97" spans="5:10">
      <c r="E97" s="8"/>
      <c r="F97" s="8"/>
      <c r="G97" s="8"/>
      <c r="H97" s="6" t="str">
        <f>IF(B97="","",IF(C97="Sí",IFERROR(INDEX(VENTAS!$K$2:$K$100,MATCH(B97,VENTAS!$A$2:$A$100,0))*E97,0),0))</f>
        <v/>
      </c>
      <c r="I97" s="6" t="str">
        <f>IF(A97="","",SUMIF(#REF!,A97,#REF!))</f>
        <v/>
      </c>
      <c r="J97" s="6" t="str">
        <f t="shared" si="2"/>
        <v/>
      </c>
    </row>
    <row r="98" spans="5:10">
      <c r="E98" s="8"/>
      <c r="F98" s="8"/>
      <c r="G98" s="8"/>
      <c r="H98" s="6" t="str">
        <f>IF(B98="","",IF(C98="Sí",IFERROR(INDEX(VENTAS!$K$2:$K$100,MATCH(B98,VENTAS!$A$2:$A$100,0))*E98,0),0))</f>
        <v/>
      </c>
      <c r="I98" s="6" t="str">
        <f>IF(A98="","",SUMIF(#REF!,A98,#REF!))</f>
        <v/>
      </c>
      <c r="J98" s="6" t="str">
        <f t="shared" ref="J98:J129" si="3">IF(A98="","",H98-I98)</f>
        <v/>
      </c>
    </row>
    <row r="99" spans="5:10">
      <c r="E99" s="8"/>
      <c r="F99" s="8"/>
      <c r="G99" s="8"/>
      <c r="H99" s="6" t="str">
        <f>IF(B99="","",IF(C99="Sí",IFERROR(INDEX(VENTAS!$K$2:$K$100,MATCH(B99,VENTAS!$A$2:$A$100,0))*E99,0),0))</f>
        <v/>
      </c>
      <c r="I99" s="6" t="str">
        <f>IF(A99="","",SUMIF(#REF!,A99,#REF!))</f>
        <v/>
      </c>
      <c r="J99" s="6" t="str">
        <f t="shared" si="3"/>
        <v/>
      </c>
    </row>
    <row r="100" spans="5:10">
      <c r="E100" s="8"/>
      <c r="F100" s="8"/>
      <c r="G100" s="8"/>
      <c r="H100" s="6" t="str">
        <f>IF(B100="","",IF(C100="Sí",IFERROR(INDEX(VENTAS!$K$2:$K$100,MATCH(B100,VENTAS!$A$2:$A$100,0))*E100,0),0))</f>
        <v/>
      </c>
      <c r="I100" s="6" t="str">
        <f>IF(A100="","",SUMIF(#REF!,A100,#REF!))</f>
        <v/>
      </c>
      <c r="J100" s="6" t="str">
        <f t="shared" si="3"/>
        <v/>
      </c>
    </row>
    <row r="101" spans="5:10">
      <c r="E101" s="8"/>
      <c r="F101" s="8"/>
      <c r="G101" s="8"/>
      <c r="H101" s="6" t="str">
        <f>IF(B101="","",IF(C101="Sí",IFERROR(INDEX(VENTAS!$K$2:$K$100,MATCH(B101,VENTAS!$A$2:$A$100,0))*E101,0),0))</f>
        <v/>
      </c>
      <c r="I101" s="6" t="str">
        <f>IF(A101="","",SUMIF(#REF!,A101,#REF!))</f>
        <v/>
      </c>
      <c r="J101" s="6" t="str">
        <f t="shared" si="3"/>
        <v/>
      </c>
    </row>
    <row r="102" spans="5:10">
      <c r="E102" s="8"/>
      <c r="F102" s="8"/>
      <c r="G102" s="8"/>
      <c r="H102" s="6" t="str">
        <f>IF(B102="","",IF(C102="Sí",IFERROR(INDEX(VENTAS!$K$2:$K$100,MATCH(B102,VENTAS!$A$2:$A$100,0))*E102,0),0))</f>
        <v/>
      </c>
      <c r="I102" s="6" t="str">
        <f>IF(A102="","",SUMIF(#REF!,A102,#REF!))</f>
        <v/>
      </c>
      <c r="J102" s="6" t="str">
        <f t="shared" si="3"/>
        <v/>
      </c>
    </row>
    <row r="103" spans="5:10">
      <c r="E103" s="8"/>
      <c r="F103" s="8"/>
      <c r="G103" s="8"/>
      <c r="H103" s="6" t="str">
        <f>IF(B103="","",IF(C103="Sí",IFERROR(INDEX(VENTAS!$K$2:$K$100,MATCH(B103,VENTAS!$A$2:$A$100,0))*E103,0),0))</f>
        <v/>
      </c>
      <c r="I103" s="6" t="str">
        <f>IF(A103="","",SUMIF(#REF!,A103,#REF!))</f>
        <v/>
      </c>
      <c r="J103" s="6" t="str">
        <f t="shared" si="3"/>
        <v/>
      </c>
    </row>
    <row r="104" spans="5:10">
      <c r="E104" s="8"/>
      <c r="F104" s="8"/>
      <c r="G104" s="8"/>
      <c r="H104" s="6" t="str">
        <f>IF(B104="","",IF(C104="Sí",IFERROR(INDEX(VENTAS!$K$2:$K$100,MATCH(B104,VENTAS!$A$2:$A$100,0))*E104,0),0))</f>
        <v/>
      </c>
      <c r="I104" s="6" t="str">
        <f>IF(A104="","",SUMIF(#REF!,A104,#REF!))</f>
        <v/>
      </c>
      <c r="J104" s="6" t="str">
        <f t="shared" si="3"/>
        <v/>
      </c>
    </row>
    <row r="105" spans="5:10">
      <c r="E105" s="8"/>
      <c r="F105" s="8"/>
      <c r="G105" s="8"/>
      <c r="H105" s="6" t="str">
        <f>IF(B105="","",IF(C105="Sí",IFERROR(INDEX(VENTAS!$K$2:$K$100,MATCH(B105,VENTAS!$A$2:$A$100,0))*E105,0),0))</f>
        <v/>
      </c>
      <c r="I105" s="6" t="str">
        <f>IF(A105="","",SUMIF(#REF!,A105,#REF!))</f>
        <v/>
      </c>
      <c r="J105" s="6" t="str">
        <f t="shared" si="3"/>
        <v/>
      </c>
    </row>
    <row r="106" spans="5:10">
      <c r="E106" s="8"/>
      <c r="F106" s="8"/>
      <c r="G106" s="8"/>
      <c r="H106" s="6" t="str">
        <f>IF(B106="","",IF(C106="Sí",IFERROR(INDEX(VENTAS!$K$2:$K$100,MATCH(B106,VENTAS!$A$2:$A$100,0))*E106,0),0))</f>
        <v/>
      </c>
      <c r="I106" s="6" t="str">
        <f>IF(A106="","",SUMIF(#REF!,A106,#REF!))</f>
        <v/>
      </c>
      <c r="J106" s="6" t="str">
        <f t="shared" si="3"/>
        <v/>
      </c>
    </row>
    <row r="107" spans="5:10">
      <c r="E107" s="8"/>
      <c r="F107" s="8"/>
      <c r="G107" s="8"/>
      <c r="H107" s="6" t="str">
        <f>IF(B107="","",IF(C107="Sí",IFERROR(INDEX(VENTAS!$K$2:$K$100,MATCH(B107,VENTAS!$A$2:$A$100,0))*E107,0),0))</f>
        <v/>
      </c>
      <c r="I107" s="6" t="str">
        <f>IF(A107="","",SUMIF(#REF!,A107,#REF!))</f>
        <v/>
      </c>
      <c r="J107" s="6" t="str">
        <f t="shared" si="3"/>
        <v/>
      </c>
    </row>
    <row r="108" spans="5:10">
      <c r="E108" s="8"/>
      <c r="F108" s="8"/>
      <c r="G108" s="8"/>
      <c r="H108" s="6" t="str">
        <f>IF(B108="","",IF(C108="Sí",IFERROR(INDEX(VENTAS!$K$2:$K$100,MATCH(B108,VENTAS!$A$2:$A$100,0))*E108,0),0))</f>
        <v/>
      </c>
      <c r="I108" s="6" t="str">
        <f>IF(A108="","",SUMIF(#REF!,A108,#REF!))</f>
        <v/>
      </c>
      <c r="J108" s="6" t="str">
        <f t="shared" si="3"/>
        <v/>
      </c>
    </row>
    <row r="109" spans="5:10">
      <c r="E109" s="8"/>
      <c r="F109" s="8"/>
      <c r="G109" s="8"/>
      <c r="H109" s="6" t="str">
        <f>IF(B109="","",IF(C109="Sí",IFERROR(INDEX(VENTAS!$K$2:$K$100,MATCH(B109,VENTAS!$A$2:$A$100,0))*E109,0),0))</f>
        <v/>
      </c>
      <c r="I109" s="6" t="str">
        <f>IF(A109="","",SUMIF(#REF!,A109,#REF!))</f>
        <v/>
      </c>
      <c r="J109" s="6" t="str">
        <f t="shared" si="3"/>
        <v/>
      </c>
    </row>
    <row r="110" spans="5:10">
      <c r="E110" s="8"/>
      <c r="F110" s="8"/>
      <c r="G110" s="8"/>
      <c r="H110" s="6" t="str">
        <f>IF(B110="","",IF(C110="Sí",IFERROR(INDEX(VENTAS!$K$2:$K$100,MATCH(B110,VENTAS!$A$2:$A$100,0))*E110,0),0))</f>
        <v/>
      </c>
      <c r="I110" s="6" t="str">
        <f>IF(A110="","",SUMIF(#REF!,A110,#REF!))</f>
        <v/>
      </c>
      <c r="J110" s="6" t="str">
        <f t="shared" si="3"/>
        <v/>
      </c>
    </row>
    <row r="111" spans="5:10">
      <c r="E111" s="8"/>
      <c r="F111" s="8"/>
      <c r="G111" s="8"/>
      <c r="H111" s="6" t="str">
        <f>IF(B111="","",IF(C111="Sí",IFERROR(INDEX(VENTAS!$K$2:$K$100,MATCH(B111,VENTAS!$A$2:$A$100,0))*E111,0),0))</f>
        <v/>
      </c>
      <c r="I111" s="6" t="str">
        <f>IF(A111="","",SUMIF(#REF!,A111,#REF!))</f>
        <v/>
      </c>
      <c r="J111" s="6" t="str">
        <f t="shared" si="3"/>
        <v/>
      </c>
    </row>
    <row r="112" spans="5:10">
      <c r="E112" s="8"/>
      <c r="F112" s="8"/>
      <c r="G112" s="8"/>
      <c r="H112" s="6" t="str">
        <f>IF(B112="","",IF(C112="Sí",IFERROR(INDEX(VENTAS!$K$2:$K$100,MATCH(B112,VENTAS!$A$2:$A$100,0))*E112,0),0))</f>
        <v/>
      </c>
      <c r="I112" s="6" t="str">
        <f>IF(A112="","",SUMIF(#REF!,A112,#REF!))</f>
        <v/>
      </c>
      <c r="J112" s="6" t="str">
        <f t="shared" si="3"/>
        <v/>
      </c>
    </row>
    <row r="113" spans="5:10">
      <c r="E113" s="8"/>
      <c r="F113" s="8"/>
      <c r="G113" s="8"/>
      <c r="H113" s="6" t="str">
        <f>IF(B113="","",IF(C113="Sí",IFERROR(INDEX(VENTAS!$K$2:$K$100,MATCH(B113,VENTAS!$A$2:$A$100,0))*E113,0),0))</f>
        <v/>
      </c>
      <c r="I113" s="6" t="str">
        <f>IF(A113="","",SUMIF(#REF!,A113,#REF!))</f>
        <v/>
      </c>
      <c r="J113" s="6" t="str">
        <f t="shared" si="3"/>
        <v/>
      </c>
    </row>
    <row r="114" spans="5:10">
      <c r="E114" s="8"/>
      <c r="F114" s="8"/>
      <c r="G114" s="8"/>
      <c r="H114" s="6" t="str">
        <f>IF(B114="","",IF(C114="Sí",IFERROR(INDEX(VENTAS!$K$2:$K$100,MATCH(B114,VENTAS!$A$2:$A$100,0))*E114,0),0))</f>
        <v/>
      </c>
      <c r="I114" s="6" t="str">
        <f>IF(A114="","",SUMIF(#REF!,A114,#REF!))</f>
        <v/>
      </c>
      <c r="J114" s="6" t="str">
        <f t="shared" si="3"/>
        <v/>
      </c>
    </row>
    <row r="115" spans="5:10">
      <c r="E115" s="8"/>
      <c r="F115" s="8"/>
      <c r="G115" s="8"/>
      <c r="H115" s="6" t="str">
        <f>IF(B115="","",IF(C115="Sí",IFERROR(INDEX(VENTAS!$K$2:$K$100,MATCH(B115,VENTAS!$A$2:$A$100,0))*E115,0),0))</f>
        <v/>
      </c>
      <c r="I115" s="6" t="str">
        <f>IF(A115="","",SUMIF(#REF!,A115,#REF!))</f>
        <v/>
      </c>
      <c r="J115" s="6" t="str">
        <f t="shared" si="3"/>
        <v/>
      </c>
    </row>
    <row r="116" spans="5:10">
      <c r="E116" s="8"/>
      <c r="F116" s="8"/>
      <c r="G116" s="8"/>
      <c r="H116" s="6" t="str">
        <f>IF(B116="","",IF(C116="Sí",IFERROR(INDEX(VENTAS!$K$2:$K$100,MATCH(B116,VENTAS!$A$2:$A$100,0))*E116,0),0))</f>
        <v/>
      </c>
      <c r="I116" s="6" t="str">
        <f>IF(A116="","",SUMIF(#REF!,A116,#REF!))</f>
        <v/>
      </c>
      <c r="J116" s="6" t="str">
        <f t="shared" si="3"/>
        <v/>
      </c>
    </row>
    <row r="117" spans="5:10">
      <c r="E117" s="8"/>
      <c r="F117" s="8"/>
      <c r="G117" s="8"/>
      <c r="H117" s="6" t="str">
        <f>IF(B117="","",IF(C117="Sí",IFERROR(INDEX(VENTAS!$K$2:$K$100,MATCH(B117,VENTAS!$A$2:$A$100,0))*E117,0),0))</f>
        <v/>
      </c>
      <c r="I117" s="6" t="str">
        <f>IF(A117="","",SUMIF(#REF!,A117,#REF!))</f>
        <v/>
      </c>
      <c r="J117" s="6" t="str">
        <f t="shared" si="3"/>
        <v/>
      </c>
    </row>
    <row r="118" spans="5:10">
      <c r="E118" s="8"/>
      <c r="F118" s="8"/>
      <c r="G118" s="8"/>
      <c r="H118" s="6" t="str">
        <f>IF(B118="","",IF(C118="Sí",IFERROR(INDEX(VENTAS!$K$2:$K$100,MATCH(B118,VENTAS!$A$2:$A$100,0))*E118,0),0))</f>
        <v/>
      </c>
      <c r="I118" s="6" t="str">
        <f>IF(A118="","",SUMIF(#REF!,A118,#REF!))</f>
        <v/>
      </c>
      <c r="J118" s="6" t="str">
        <f t="shared" si="3"/>
        <v/>
      </c>
    </row>
    <row r="119" spans="5:10">
      <c r="E119" s="8"/>
      <c r="F119" s="8"/>
      <c r="G119" s="8"/>
      <c r="H119" s="6" t="str">
        <f>IF(B119="","",IF(C119="Sí",IFERROR(INDEX(VENTAS!$K$2:$K$100,MATCH(B119,VENTAS!$A$2:$A$100,0))*E119,0),0))</f>
        <v/>
      </c>
      <c r="I119" s="6" t="str">
        <f>IF(A119="","",SUMIF(#REF!,A119,#REF!))</f>
        <v/>
      </c>
      <c r="J119" s="6" t="str">
        <f t="shared" si="3"/>
        <v/>
      </c>
    </row>
    <row r="120" spans="5:10">
      <c r="E120" s="8"/>
      <c r="F120" s="8"/>
      <c r="G120" s="8"/>
      <c r="H120" s="6" t="str">
        <f>IF(B120="","",IF(C120="Sí",IFERROR(INDEX(VENTAS!$K$2:$K$100,MATCH(B120,VENTAS!$A$2:$A$100,0))*E120,0),0))</f>
        <v/>
      </c>
      <c r="I120" s="6" t="str">
        <f>IF(A120="","",SUMIF(#REF!,A120,#REF!))</f>
        <v/>
      </c>
      <c r="J120" s="6" t="str">
        <f t="shared" si="3"/>
        <v/>
      </c>
    </row>
    <row r="121" spans="5:10">
      <c r="E121" s="8"/>
      <c r="F121" s="8"/>
      <c r="G121" s="8"/>
      <c r="H121" s="6" t="str">
        <f>IF(B121="","",IF(C121="Sí",IFERROR(INDEX(VENTAS!$K$2:$K$100,MATCH(B121,VENTAS!$A$2:$A$100,0))*E121,0),0))</f>
        <v/>
      </c>
      <c r="I121" s="6" t="str">
        <f>IF(A121="","",SUMIF(#REF!,A121,#REF!))</f>
        <v/>
      </c>
      <c r="J121" s="6" t="str">
        <f t="shared" si="3"/>
        <v/>
      </c>
    </row>
    <row r="122" spans="5:10">
      <c r="E122" s="8"/>
      <c r="F122" s="8"/>
      <c r="G122" s="8"/>
      <c r="H122" s="6" t="str">
        <f>IF(B122="","",IF(C122="Sí",IFERROR(INDEX(VENTAS!$K$2:$K$100,MATCH(B122,VENTAS!$A$2:$A$100,0))*E122,0),0))</f>
        <v/>
      </c>
      <c r="I122" s="6" t="str">
        <f>IF(A122="","",SUMIF(#REF!,A122,#REF!))</f>
        <v/>
      </c>
      <c r="J122" s="6" t="str">
        <f t="shared" si="3"/>
        <v/>
      </c>
    </row>
    <row r="123" spans="5:10">
      <c r="E123" s="8"/>
      <c r="F123" s="8"/>
      <c r="G123" s="8"/>
      <c r="H123" s="6" t="str">
        <f>IF(B123="","",IF(C123="Sí",IFERROR(INDEX(VENTAS!$K$2:$K$100,MATCH(B123,VENTAS!$A$2:$A$100,0))*E123,0),0))</f>
        <v/>
      </c>
      <c r="I123" s="6" t="str">
        <f>IF(A123="","",SUMIF(#REF!,A123,#REF!))</f>
        <v/>
      </c>
      <c r="J123" s="6" t="str">
        <f t="shared" si="3"/>
        <v/>
      </c>
    </row>
    <row r="124" spans="5:10">
      <c r="E124" s="8"/>
      <c r="F124" s="8"/>
      <c r="G124" s="8"/>
      <c r="H124" s="6" t="str">
        <f>IF(B124="","",IF(C124="Sí",IFERROR(INDEX(VENTAS!$K$2:$K$100,MATCH(B124,VENTAS!$A$2:$A$100,0))*E124,0),0))</f>
        <v/>
      </c>
      <c r="I124" s="6" t="str">
        <f>IF(A124="","",SUMIF(#REF!,A124,#REF!))</f>
        <v/>
      </c>
      <c r="J124" s="6" t="str">
        <f t="shared" si="3"/>
        <v/>
      </c>
    </row>
    <row r="125" spans="5:10">
      <c r="E125" s="8"/>
      <c r="F125" s="8"/>
      <c r="G125" s="8"/>
      <c r="H125" s="6" t="str">
        <f>IF(B125="","",IF(C125="Sí",IFERROR(INDEX(VENTAS!$K$2:$K$100,MATCH(B125,VENTAS!$A$2:$A$100,0))*E125,0),0))</f>
        <v/>
      </c>
      <c r="I125" s="6" t="str">
        <f>IF(A125="","",SUMIF(#REF!,A125,#REF!))</f>
        <v/>
      </c>
      <c r="J125" s="6" t="str">
        <f t="shared" si="3"/>
        <v/>
      </c>
    </row>
    <row r="126" spans="5:10">
      <c r="E126" s="8"/>
      <c r="F126" s="8"/>
      <c r="G126" s="8"/>
      <c r="H126" s="6" t="str">
        <f>IF(B126="","",IF(C126="Sí",IFERROR(INDEX(VENTAS!$K$2:$K$100,MATCH(B126,VENTAS!$A$2:$A$100,0))*E126,0),0))</f>
        <v/>
      </c>
      <c r="I126" s="6" t="str">
        <f>IF(A126="","",SUMIF(#REF!,A126,#REF!))</f>
        <v/>
      </c>
      <c r="J126" s="6" t="str">
        <f t="shared" si="3"/>
        <v/>
      </c>
    </row>
    <row r="127" spans="5:10">
      <c r="E127" s="8"/>
      <c r="F127" s="8"/>
      <c r="G127" s="8"/>
      <c r="H127" s="6" t="str">
        <f>IF(B127="","",IF(C127="Sí",IFERROR(INDEX(VENTAS!$K$2:$K$100,MATCH(B127,VENTAS!$A$2:$A$100,0))*E127,0),0))</f>
        <v/>
      </c>
      <c r="I127" s="6" t="str">
        <f>IF(A127="","",SUMIF(#REF!,A127,#REF!))</f>
        <v/>
      </c>
      <c r="J127" s="6" t="str">
        <f t="shared" si="3"/>
        <v/>
      </c>
    </row>
    <row r="128" spans="5:10">
      <c r="E128" s="8"/>
      <c r="F128" s="8"/>
      <c r="G128" s="8"/>
      <c r="H128" s="6" t="str">
        <f>IF(B128="","",IF(C128="Sí",IFERROR(INDEX(VENTAS!$K$2:$K$100,MATCH(B128,VENTAS!$A$2:$A$100,0))*E128,0),0))</f>
        <v/>
      </c>
      <c r="I128" s="6" t="str">
        <f>IF(A128="","",SUMIF(#REF!,A128,#REF!))</f>
        <v/>
      </c>
      <c r="J128" s="6" t="str">
        <f t="shared" si="3"/>
        <v/>
      </c>
    </row>
    <row r="129" spans="5:10">
      <c r="E129" s="8"/>
      <c r="F129" s="8"/>
      <c r="G129" s="8"/>
      <c r="H129" s="6" t="str">
        <f>IF(B129="","",IF(C129="Sí",IFERROR(INDEX(VENTAS!$K$2:$K$100,MATCH(B129,VENTAS!$A$2:$A$100,0))*E129,0),0))</f>
        <v/>
      </c>
      <c r="I129" s="6" t="str">
        <f>IF(A129="","",SUMIF(#REF!,A129,#REF!))</f>
        <v/>
      </c>
      <c r="J129" s="6" t="str">
        <f t="shared" si="3"/>
        <v/>
      </c>
    </row>
    <row r="130" spans="5:10">
      <c r="E130" s="8"/>
      <c r="F130" s="8"/>
      <c r="G130" s="8"/>
      <c r="H130" s="6" t="str">
        <f>IF(B130="","",IF(C130="Sí",IFERROR(INDEX(VENTAS!$K$2:$K$100,MATCH(B130,VENTAS!$A$2:$A$100,0))*E130,0),0))</f>
        <v/>
      </c>
      <c r="I130" s="6" t="str">
        <f>IF(A130="","",SUMIF(#REF!,A130,#REF!))</f>
        <v/>
      </c>
      <c r="J130" s="6" t="str">
        <f t="shared" ref="J130:J161" si="4">IF(A130="","",H130-I130)</f>
        <v/>
      </c>
    </row>
    <row r="131" spans="5:10">
      <c r="E131" s="8"/>
      <c r="F131" s="8"/>
      <c r="G131" s="8"/>
      <c r="H131" s="6" t="str">
        <f>IF(B131="","",IF(C131="Sí",IFERROR(INDEX(VENTAS!$K$2:$K$100,MATCH(B131,VENTAS!$A$2:$A$100,0))*E131,0),0))</f>
        <v/>
      </c>
      <c r="I131" s="6" t="str">
        <f>IF(A131="","",SUMIF(#REF!,A131,#REF!))</f>
        <v/>
      </c>
      <c r="J131" s="6" t="str">
        <f t="shared" si="4"/>
        <v/>
      </c>
    </row>
    <row r="132" spans="5:10">
      <c r="E132" s="8"/>
      <c r="F132" s="8"/>
      <c r="G132" s="8"/>
      <c r="H132" s="6" t="str">
        <f>IF(B132="","",IF(C132="Sí",IFERROR(INDEX(VENTAS!$K$2:$K$100,MATCH(B132,VENTAS!$A$2:$A$100,0))*E132,0),0))</f>
        <v/>
      </c>
      <c r="I132" s="6" t="str">
        <f>IF(A132="","",SUMIF(#REF!,A132,#REF!))</f>
        <v/>
      </c>
      <c r="J132" s="6" t="str">
        <f t="shared" si="4"/>
        <v/>
      </c>
    </row>
    <row r="133" spans="5:10">
      <c r="E133" s="8"/>
      <c r="F133" s="8"/>
      <c r="G133" s="8"/>
      <c r="H133" s="6" t="str">
        <f>IF(B133="","",IF(C133="Sí",IFERROR(INDEX(VENTAS!$K$2:$K$100,MATCH(B133,VENTAS!$A$2:$A$100,0))*E133,0),0))</f>
        <v/>
      </c>
      <c r="I133" s="6" t="str">
        <f>IF(A133="","",SUMIF(#REF!,A133,#REF!))</f>
        <v/>
      </c>
      <c r="J133" s="6" t="str">
        <f t="shared" si="4"/>
        <v/>
      </c>
    </row>
    <row r="134" spans="5:10">
      <c r="E134" s="8"/>
      <c r="F134" s="8"/>
      <c r="G134" s="8"/>
      <c r="H134" s="6" t="str">
        <f>IF(B134="","",IF(C134="Sí",IFERROR(INDEX(VENTAS!$K$2:$K$100,MATCH(B134,VENTAS!$A$2:$A$100,0))*E134,0),0))</f>
        <v/>
      </c>
      <c r="I134" s="6" t="str">
        <f>IF(A134="","",SUMIF(#REF!,A134,#REF!))</f>
        <v/>
      </c>
      <c r="J134" s="6" t="str">
        <f t="shared" si="4"/>
        <v/>
      </c>
    </row>
    <row r="135" spans="5:10">
      <c r="E135" s="8"/>
      <c r="F135" s="8"/>
      <c r="G135" s="8"/>
      <c r="H135" s="6" t="str">
        <f>IF(B135="","",IF(C135="Sí",IFERROR(INDEX(VENTAS!$K$2:$K$100,MATCH(B135,VENTAS!$A$2:$A$100,0))*E135,0),0))</f>
        <v/>
      </c>
      <c r="I135" s="6" t="str">
        <f>IF(A135="","",SUMIF(#REF!,A135,#REF!))</f>
        <v/>
      </c>
      <c r="J135" s="6" t="str">
        <f t="shared" si="4"/>
        <v/>
      </c>
    </row>
    <row r="136" spans="5:10">
      <c r="E136" s="8"/>
      <c r="F136" s="8"/>
      <c r="G136" s="8"/>
      <c r="H136" s="6" t="str">
        <f>IF(B136="","",IF(C136="Sí",IFERROR(INDEX(VENTAS!$K$2:$K$100,MATCH(B136,VENTAS!$A$2:$A$100,0))*E136,0),0))</f>
        <v/>
      </c>
      <c r="I136" s="6" t="str">
        <f>IF(A136="","",SUMIF(#REF!,A136,#REF!))</f>
        <v/>
      </c>
      <c r="J136" s="6" t="str">
        <f t="shared" si="4"/>
        <v/>
      </c>
    </row>
    <row r="137" spans="5:10">
      <c r="E137" s="8"/>
      <c r="F137" s="8"/>
      <c r="G137" s="8"/>
      <c r="H137" s="6" t="str">
        <f>IF(B137="","",IF(C137="Sí",IFERROR(INDEX(VENTAS!$K$2:$K$100,MATCH(B137,VENTAS!$A$2:$A$100,0))*E137,0),0))</f>
        <v/>
      </c>
      <c r="I137" s="6" t="str">
        <f>IF(A137="","",SUMIF(#REF!,A137,#REF!))</f>
        <v/>
      </c>
      <c r="J137" s="6" t="str">
        <f t="shared" si="4"/>
        <v/>
      </c>
    </row>
    <row r="138" spans="5:10">
      <c r="E138" s="8"/>
      <c r="F138" s="8"/>
      <c r="G138" s="8"/>
      <c r="H138" s="6" t="str">
        <f>IF(B138="","",IF(C138="Sí",IFERROR(INDEX(VENTAS!$K$2:$K$100,MATCH(B138,VENTAS!$A$2:$A$100,0))*E138,0),0))</f>
        <v/>
      </c>
      <c r="I138" s="6" t="str">
        <f>IF(A138="","",SUMIF(#REF!,A138,#REF!))</f>
        <v/>
      </c>
      <c r="J138" s="6" t="str">
        <f t="shared" si="4"/>
        <v/>
      </c>
    </row>
    <row r="139" spans="5:10">
      <c r="E139" s="8"/>
      <c r="F139" s="8"/>
      <c r="G139" s="8"/>
      <c r="H139" s="6" t="str">
        <f>IF(B139="","",IF(C139="Sí",IFERROR(INDEX(VENTAS!$K$2:$K$100,MATCH(B139,VENTAS!$A$2:$A$100,0))*E139,0),0))</f>
        <v/>
      </c>
      <c r="I139" s="6" t="str">
        <f>IF(A139="","",SUMIF(#REF!,A139,#REF!))</f>
        <v/>
      </c>
      <c r="J139" s="6" t="str">
        <f t="shared" si="4"/>
        <v/>
      </c>
    </row>
    <row r="140" spans="5:10">
      <c r="E140" s="8"/>
      <c r="F140" s="8"/>
      <c r="G140" s="8"/>
      <c r="H140" s="6" t="str">
        <f>IF(B140="","",IF(C140="Sí",IFERROR(INDEX(VENTAS!$K$2:$K$100,MATCH(B140,VENTAS!$A$2:$A$100,0))*E140,0),0))</f>
        <v/>
      </c>
      <c r="I140" s="6" t="str">
        <f>IF(A140="","",SUMIF(#REF!,A140,#REF!))</f>
        <v/>
      </c>
      <c r="J140" s="6" t="str">
        <f t="shared" si="4"/>
        <v/>
      </c>
    </row>
    <row r="141" spans="5:10">
      <c r="E141" s="8"/>
      <c r="F141" s="8"/>
      <c r="G141" s="8"/>
      <c r="H141" s="6" t="str">
        <f>IF(B141="","",IF(C141="Sí",IFERROR(INDEX(VENTAS!$K$2:$K$100,MATCH(B141,VENTAS!$A$2:$A$100,0))*E141,0),0))</f>
        <v/>
      </c>
      <c r="I141" s="6" t="str">
        <f>IF(A141="","",SUMIF(#REF!,A141,#REF!))</f>
        <v/>
      </c>
      <c r="J141" s="6" t="str">
        <f t="shared" si="4"/>
        <v/>
      </c>
    </row>
    <row r="142" spans="5:10">
      <c r="E142" s="8"/>
      <c r="F142" s="8"/>
      <c r="G142" s="8"/>
      <c r="H142" s="6" t="str">
        <f>IF(B142="","",IF(C142="Sí",IFERROR(INDEX(VENTAS!$K$2:$K$100,MATCH(B142,VENTAS!$A$2:$A$100,0))*E142,0),0))</f>
        <v/>
      </c>
      <c r="I142" s="6" t="str">
        <f>IF(A142="","",SUMIF(#REF!,A142,#REF!))</f>
        <v/>
      </c>
      <c r="J142" s="6" t="str">
        <f t="shared" si="4"/>
        <v/>
      </c>
    </row>
    <row r="143" spans="5:10">
      <c r="E143" s="8"/>
      <c r="F143" s="8"/>
      <c r="G143" s="8"/>
      <c r="H143" s="6" t="str">
        <f>IF(B143="","",IF(C143="Sí",IFERROR(INDEX(VENTAS!$K$2:$K$100,MATCH(B143,VENTAS!$A$2:$A$100,0))*E143,0),0))</f>
        <v/>
      </c>
      <c r="I143" s="6" t="str">
        <f>IF(A143="","",SUMIF(#REF!,A143,#REF!))</f>
        <v/>
      </c>
      <c r="J143" s="6" t="str">
        <f t="shared" si="4"/>
        <v/>
      </c>
    </row>
    <row r="144" spans="5:10">
      <c r="E144" s="8"/>
      <c r="F144" s="8"/>
      <c r="G144" s="8"/>
      <c r="H144" s="6" t="str">
        <f>IF(B144="","",IF(C144="Sí",IFERROR(INDEX(VENTAS!$K$2:$K$100,MATCH(B144,VENTAS!$A$2:$A$100,0))*E144,0),0))</f>
        <v/>
      </c>
      <c r="I144" s="6" t="str">
        <f>IF(A144="","",SUMIF(#REF!,A144,#REF!))</f>
        <v/>
      </c>
      <c r="J144" s="6" t="str">
        <f t="shared" si="4"/>
        <v/>
      </c>
    </row>
    <row r="145" spans="5:10">
      <c r="E145" s="8"/>
      <c r="F145" s="8"/>
      <c r="G145" s="8"/>
      <c r="H145" s="6" t="str">
        <f>IF(B145="","",IF(C145="Sí",IFERROR(INDEX(VENTAS!$K$2:$K$100,MATCH(B145,VENTAS!$A$2:$A$100,0))*E145,0),0))</f>
        <v/>
      </c>
      <c r="I145" s="6" t="str">
        <f>IF(A145="","",SUMIF(#REF!,A145,#REF!))</f>
        <v/>
      </c>
      <c r="J145" s="6" t="str">
        <f t="shared" si="4"/>
        <v/>
      </c>
    </row>
    <row r="146" spans="5:10">
      <c r="E146" s="8"/>
      <c r="F146" s="8"/>
      <c r="G146" s="8"/>
      <c r="H146" s="6" t="str">
        <f>IF(B146="","",IF(C146="Sí",IFERROR(INDEX(VENTAS!$K$2:$K$100,MATCH(B146,VENTAS!$A$2:$A$100,0))*E146,0),0))</f>
        <v/>
      </c>
      <c r="I146" s="6" t="str">
        <f>IF(A146="","",SUMIF(#REF!,A146,#REF!))</f>
        <v/>
      </c>
      <c r="J146" s="6" t="str">
        <f t="shared" si="4"/>
        <v/>
      </c>
    </row>
    <row r="147" spans="5:10">
      <c r="E147" s="8"/>
      <c r="F147" s="8"/>
      <c r="G147" s="8"/>
      <c r="H147" s="6" t="str">
        <f>IF(B147="","",IF(C147="Sí",IFERROR(INDEX(VENTAS!$K$2:$K$100,MATCH(B147,VENTAS!$A$2:$A$100,0))*E147,0),0))</f>
        <v/>
      </c>
      <c r="I147" s="6" t="str">
        <f>IF(A147="","",SUMIF(#REF!,A147,#REF!))</f>
        <v/>
      </c>
      <c r="J147" s="6" t="str">
        <f t="shared" si="4"/>
        <v/>
      </c>
    </row>
    <row r="148" spans="5:10">
      <c r="E148" s="8"/>
      <c r="F148" s="8"/>
      <c r="G148" s="8"/>
      <c r="H148" s="6" t="str">
        <f>IF(B148="","",IF(C148="Sí",IFERROR(INDEX(VENTAS!$K$2:$K$100,MATCH(B148,VENTAS!$A$2:$A$100,0))*E148,0),0))</f>
        <v/>
      </c>
      <c r="I148" s="6" t="str">
        <f>IF(A148="","",SUMIF(#REF!,A148,#REF!))</f>
        <v/>
      </c>
      <c r="J148" s="6" t="str">
        <f t="shared" si="4"/>
        <v/>
      </c>
    </row>
    <row r="149" spans="5:10">
      <c r="E149" s="8"/>
      <c r="F149" s="8"/>
      <c r="G149" s="8"/>
      <c r="H149" s="6" t="str">
        <f>IF(B149="","",IF(C149="Sí",IFERROR(INDEX(VENTAS!$K$2:$K$100,MATCH(B149,VENTAS!$A$2:$A$100,0))*E149,0),0))</f>
        <v/>
      </c>
      <c r="I149" s="6" t="str">
        <f>IF(A149="","",SUMIF(#REF!,A149,#REF!))</f>
        <v/>
      </c>
      <c r="J149" s="6" t="str">
        <f t="shared" si="4"/>
        <v/>
      </c>
    </row>
    <row r="150" spans="5:10">
      <c r="E150" s="8"/>
      <c r="F150" s="8"/>
      <c r="G150" s="8"/>
      <c r="H150" s="6" t="str">
        <f>IF(B150="","",IF(C150="Sí",IFERROR(INDEX(VENTAS!$K$2:$K$100,MATCH(B150,VENTAS!$A$2:$A$100,0))*E150,0),0))</f>
        <v/>
      </c>
      <c r="I150" s="6" t="str">
        <f>IF(A150="","",SUMIF(#REF!,A150,#REF!))</f>
        <v/>
      </c>
      <c r="J150" s="6" t="str">
        <f t="shared" si="4"/>
        <v/>
      </c>
    </row>
    <row r="151" spans="5:10">
      <c r="E151" s="8"/>
      <c r="F151" s="8"/>
      <c r="G151" s="8"/>
      <c r="H151" s="6" t="str">
        <f>IF(B151="","",IF(C151="Sí",IFERROR(INDEX(VENTAS!$K$2:$K$100,MATCH(B151,VENTAS!$A$2:$A$100,0))*E151,0),0))</f>
        <v/>
      </c>
      <c r="I151" s="6" t="str">
        <f>IF(A151="","",SUMIF(#REF!,A151,#REF!))</f>
        <v/>
      </c>
      <c r="J151" s="6" t="str">
        <f t="shared" si="4"/>
        <v/>
      </c>
    </row>
    <row r="152" spans="5:10">
      <c r="E152" s="8"/>
      <c r="F152" s="8"/>
      <c r="G152" s="8"/>
      <c r="H152" s="6" t="str">
        <f>IF(B152="","",IF(C152="Sí",IFERROR(INDEX(VENTAS!$K$2:$K$100,MATCH(B152,VENTAS!$A$2:$A$100,0))*E152,0),0))</f>
        <v/>
      </c>
      <c r="I152" s="6" t="str">
        <f>IF(A152="","",SUMIF(#REF!,A152,#REF!))</f>
        <v/>
      </c>
      <c r="J152" s="6" t="str">
        <f t="shared" si="4"/>
        <v/>
      </c>
    </row>
    <row r="153" spans="5:10">
      <c r="E153" s="8"/>
      <c r="F153" s="8"/>
      <c r="G153" s="8"/>
      <c r="H153" s="6" t="str">
        <f>IF(B153="","",IF(C153="Sí",IFERROR(INDEX(VENTAS!$K$2:$K$100,MATCH(B153,VENTAS!$A$2:$A$100,0))*E153,0),0))</f>
        <v/>
      </c>
      <c r="I153" s="6" t="str">
        <f>IF(A153="","",SUMIF(#REF!,A153,#REF!))</f>
        <v/>
      </c>
      <c r="J153" s="6" t="str">
        <f t="shared" si="4"/>
        <v/>
      </c>
    </row>
    <row r="154" spans="5:10">
      <c r="E154" s="8"/>
      <c r="F154" s="8"/>
      <c r="G154" s="8"/>
      <c r="H154" s="6" t="str">
        <f>IF(B154="","",IF(C154="Sí",IFERROR(INDEX(VENTAS!$K$2:$K$100,MATCH(B154,VENTAS!$A$2:$A$100,0))*E154,0),0))</f>
        <v/>
      </c>
      <c r="I154" s="6" t="str">
        <f>IF(A154="","",SUMIF(#REF!,A154,#REF!))</f>
        <v/>
      </c>
      <c r="J154" s="6" t="str">
        <f t="shared" si="4"/>
        <v/>
      </c>
    </row>
    <row r="155" spans="5:10">
      <c r="E155" s="8"/>
      <c r="F155" s="8"/>
      <c r="G155" s="8"/>
      <c r="H155" s="6" t="str">
        <f>IF(B155="","",IF(C155="Sí",IFERROR(INDEX(VENTAS!$K$2:$K$100,MATCH(B155,VENTAS!$A$2:$A$100,0))*E155,0),0))</f>
        <v/>
      </c>
      <c r="I155" s="6" t="str">
        <f>IF(A155="","",SUMIF(#REF!,A155,#REF!))</f>
        <v/>
      </c>
      <c r="J155" s="6" t="str">
        <f t="shared" si="4"/>
        <v/>
      </c>
    </row>
    <row r="156" spans="5:10">
      <c r="E156" s="8"/>
      <c r="F156" s="8"/>
      <c r="G156" s="8"/>
      <c r="H156" s="6" t="str">
        <f>IF(B156="","",IF(C156="Sí",IFERROR(INDEX(VENTAS!$K$2:$K$100,MATCH(B156,VENTAS!$A$2:$A$100,0))*E156,0),0))</f>
        <v/>
      </c>
      <c r="I156" s="6" t="str">
        <f>IF(A156="","",SUMIF(#REF!,A156,#REF!))</f>
        <v/>
      </c>
      <c r="J156" s="6" t="str">
        <f t="shared" si="4"/>
        <v/>
      </c>
    </row>
    <row r="157" spans="5:10">
      <c r="E157" s="8"/>
      <c r="F157" s="8"/>
      <c r="G157" s="8"/>
      <c r="H157" s="6" t="str">
        <f>IF(B157="","",IF(C157="Sí",IFERROR(INDEX(VENTAS!$K$2:$K$100,MATCH(B157,VENTAS!$A$2:$A$100,0))*E157,0),0))</f>
        <v/>
      </c>
      <c r="I157" s="6" t="str">
        <f>IF(A157="","",SUMIF(#REF!,A157,#REF!))</f>
        <v/>
      </c>
      <c r="J157" s="6" t="str">
        <f t="shared" si="4"/>
        <v/>
      </c>
    </row>
    <row r="158" spans="5:10">
      <c r="E158" s="8"/>
      <c r="F158" s="8"/>
      <c r="G158" s="8"/>
      <c r="H158" s="6" t="str">
        <f>IF(B158="","",IF(C158="Sí",IFERROR(INDEX(VENTAS!$K$2:$K$100,MATCH(B158,VENTAS!$A$2:$A$100,0))*E158,0),0))</f>
        <v/>
      </c>
      <c r="I158" s="6" t="str">
        <f>IF(A158="","",SUMIF(#REF!,A158,#REF!))</f>
        <v/>
      </c>
      <c r="J158" s="6" t="str">
        <f t="shared" si="4"/>
        <v/>
      </c>
    </row>
    <row r="159" spans="5:10">
      <c r="E159" s="8"/>
      <c r="F159" s="8"/>
      <c r="G159" s="8"/>
      <c r="H159" s="6" t="str">
        <f>IF(B159="","",IF(C159="Sí",IFERROR(INDEX(VENTAS!$K$2:$K$100,MATCH(B159,VENTAS!$A$2:$A$100,0))*E159,0),0))</f>
        <v/>
      </c>
      <c r="I159" s="6" t="str">
        <f>IF(A159="","",SUMIF(#REF!,A159,#REF!))</f>
        <v/>
      </c>
      <c r="J159" s="6" t="str">
        <f t="shared" si="4"/>
        <v/>
      </c>
    </row>
    <row r="160" spans="5:10">
      <c r="E160" s="8"/>
      <c r="F160" s="8"/>
      <c r="G160" s="8"/>
      <c r="H160" s="6" t="str">
        <f>IF(B160="","",IF(C160="Sí",IFERROR(INDEX(VENTAS!$K$2:$K$100,MATCH(B160,VENTAS!$A$2:$A$100,0))*E160,0),0))</f>
        <v/>
      </c>
      <c r="I160" s="6" t="str">
        <f>IF(A160="","",SUMIF(#REF!,A160,#REF!))</f>
        <v/>
      </c>
      <c r="J160" s="6" t="str">
        <f t="shared" si="4"/>
        <v/>
      </c>
    </row>
    <row r="161" spans="5:10">
      <c r="E161" s="8"/>
      <c r="F161" s="8"/>
      <c r="G161" s="8"/>
      <c r="H161" s="6" t="str">
        <f>IF(B161="","",IF(C161="Sí",IFERROR(INDEX(VENTAS!$K$2:$K$100,MATCH(B161,VENTAS!$A$2:$A$100,0))*E161,0),0))</f>
        <v/>
      </c>
      <c r="I161" s="6" t="str">
        <f>IF(A161="","",SUMIF(#REF!,A161,#REF!))</f>
        <v/>
      </c>
      <c r="J161" s="6" t="str">
        <f t="shared" si="4"/>
        <v/>
      </c>
    </row>
    <row r="162" spans="5:10">
      <c r="E162" s="8"/>
      <c r="F162" s="8"/>
      <c r="G162" s="8"/>
      <c r="H162" s="6" t="str">
        <f>IF(B162="","",IF(C162="Sí",IFERROR(INDEX(VENTAS!$K$2:$K$100,MATCH(B162,VENTAS!$A$2:$A$100,0))*E162,0),0))</f>
        <v/>
      </c>
      <c r="I162" s="6" t="str">
        <f>IF(A162="","",SUMIF(#REF!,A162,#REF!))</f>
        <v/>
      </c>
      <c r="J162" s="6" t="str">
        <f t="shared" ref="J162:J193" si="5">IF(A162="","",H162-I162)</f>
        <v/>
      </c>
    </row>
    <row r="163" spans="5:10">
      <c r="E163" s="8"/>
      <c r="F163" s="8"/>
      <c r="G163" s="8"/>
      <c r="H163" s="6" t="str">
        <f>IF(B163="","",IF(C163="Sí",IFERROR(INDEX(VENTAS!$K$2:$K$100,MATCH(B163,VENTAS!$A$2:$A$100,0))*E163,0),0))</f>
        <v/>
      </c>
      <c r="I163" s="6" t="str">
        <f>IF(A163="","",SUMIF(#REF!,A163,#REF!))</f>
        <v/>
      </c>
      <c r="J163" s="6" t="str">
        <f t="shared" si="5"/>
        <v/>
      </c>
    </row>
    <row r="164" spans="5:10">
      <c r="E164" s="8"/>
      <c r="F164" s="8"/>
      <c r="G164" s="8"/>
      <c r="H164" s="6" t="str">
        <f>IF(B164="","",IF(C164="Sí",IFERROR(INDEX(VENTAS!$K$2:$K$100,MATCH(B164,VENTAS!$A$2:$A$100,0))*E164,0),0))</f>
        <v/>
      </c>
      <c r="I164" s="6" t="str">
        <f>IF(A164="","",SUMIF(#REF!,A164,#REF!))</f>
        <v/>
      </c>
      <c r="J164" s="6" t="str">
        <f t="shared" si="5"/>
        <v/>
      </c>
    </row>
    <row r="165" spans="5:10">
      <c r="E165" s="8"/>
      <c r="F165" s="8"/>
      <c r="G165" s="8"/>
      <c r="H165" s="6" t="str">
        <f>IF(B165="","",IF(C165="Sí",IFERROR(INDEX(VENTAS!$K$2:$K$100,MATCH(B165,VENTAS!$A$2:$A$100,0))*E165,0),0))</f>
        <v/>
      </c>
      <c r="I165" s="6" t="str">
        <f>IF(A165="","",SUMIF(#REF!,A165,#REF!))</f>
        <v/>
      </c>
      <c r="J165" s="6" t="str">
        <f t="shared" si="5"/>
        <v/>
      </c>
    </row>
    <row r="166" spans="5:10">
      <c r="E166" s="8"/>
      <c r="F166" s="8"/>
      <c r="G166" s="8"/>
      <c r="H166" s="6" t="str">
        <f>IF(B166="","",IF(C166="Sí",IFERROR(INDEX(VENTAS!$K$2:$K$100,MATCH(B166,VENTAS!$A$2:$A$100,0))*E166,0),0))</f>
        <v/>
      </c>
      <c r="I166" s="6" t="str">
        <f>IF(A166="","",SUMIF(#REF!,A166,#REF!))</f>
        <v/>
      </c>
      <c r="J166" s="6" t="str">
        <f t="shared" si="5"/>
        <v/>
      </c>
    </row>
    <row r="167" spans="5:10">
      <c r="E167" s="8"/>
      <c r="F167" s="8"/>
      <c r="G167" s="8"/>
      <c r="H167" s="6" t="str">
        <f>IF(B167="","",IF(C167="Sí",IFERROR(INDEX(VENTAS!$K$2:$K$100,MATCH(B167,VENTAS!$A$2:$A$100,0))*E167,0),0))</f>
        <v/>
      </c>
      <c r="I167" s="6" t="str">
        <f>IF(A167="","",SUMIF(#REF!,A167,#REF!))</f>
        <v/>
      </c>
      <c r="J167" s="6" t="str">
        <f t="shared" si="5"/>
        <v/>
      </c>
    </row>
    <row r="168" spans="5:10">
      <c r="E168" s="8"/>
      <c r="F168" s="8"/>
      <c r="G168" s="8"/>
      <c r="H168" s="6" t="str">
        <f>IF(B168="","",IF(C168="Sí",IFERROR(INDEX(VENTAS!$K$2:$K$100,MATCH(B168,VENTAS!$A$2:$A$100,0))*E168,0),0))</f>
        <v/>
      </c>
      <c r="I168" s="6" t="str">
        <f>IF(A168="","",SUMIF(#REF!,A168,#REF!))</f>
        <v/>
      </c>
      <c r="J168" s="6" t="str">
        <f t="shared" si="5"/>
        <v/>
      </c>
    </row>
    <row r="169" spans="5:10">
      <c r="E169" s="8"/>
      <c r="F169" s="8"/>
      <c r="G169" s="8"/>
      <c r="H169" s="6" t="str">
        <f>IF(B169="","",IF(C169="Sí",IFERROR(INDEX(VENTAS!$K$2:$K$100,MATCH(B169,VENTAS!$A$2:$A$100,0))*E169,0),0))</f>
        <v/>
      </c>
      <c r="I169" s="6" t="str">
        <f>IF(A169="","",SUMIF(#REF!,A169,#REF!))</f>
        <v/>
      </c>
      <c r="J169" s="6" t="str">
        <f t="shared" si="5"/>
        <v/>
      </c>
    </row>
    <row r="170" spans="5:10">
      <c r="E170" s="8"/>
      <c r="F170" s="8"/>
      <c r="G170" s="8"/>
      <c r="H170" s="6" t="str">
        <f>IF(B170="","",IF(C170="Sí",IFERROR(INDEX(VENTAS!$K$2:$K$100,MATCH(B170,VENTAS!$A$2:$A$100,0))*E170,0),0))</f>
        <v/>
      </c>
      <c r="I170" s="6" t="str">
        <f>IF(A170="","",SUMIF(#REF!,A170,#REF!))</f>
        <v/>
      </c>
      <c r="J170" s="6" t="str">
        <f t="shared" si="5"/>
        <v/>
      </c>
    </row>
    <row r="171" spans="5:10">
      <c r="E171" s="8"/>
      <c r="F171" s="8"/>
      <c r="G171" s="8"/>
      <c r="H171" s="6" t="str">
        <f>IF(B171="","",IF(C171="Sí",IFERROR(INDEX(VENTAS!$K$2:$K$100,MATCH(B171,VENTAS!$A$2:$A$100,0))*E171,0),0))</f>
        <v/>
      </c>
      <c r="I171" s="6" t="str">
        <f>IF(A171="","",SUMIF(#REF!,A171,#REF!))</f>
        <v/>
      </c>
      <c r="J171" s="6" t="str">
        <f t="shared" si="5"/>
        <v/>
      </c>
    </row>
    <row r="172" spans="5:10">
      <c r="E172" s="8"/>
      <c r="F172" s="8"/>
      <c r="G172" s="8"/>
      <c r="H172" s="6" t="str">
        <f>IF(B172="","",IF(C172="Sí",IFERROR(INDEX(VENTAS!$K$2:$K$100,MATCH(B172,VENTAS!$A$2:$A$100,0))*E172,0),0))</f>
        <v/>
      </c>
      <c r="I172" s="6" t="str">
        <f>IF(A172="","",SUMIF(#REF!,A172,#REF!))</f>
        <v/>
      </c>
      <c r="J172" s="6" t="str">
        <f t="shared" si="5"/>
        <v/>
      </c>
    </row>
    <row r="173" spans="5:10">
      <c r="E173" s="8"/>
      <c r="F173" s="8"/>
      <c r="G173" s="8"/>
      <c r="H173" s="6" t="str">
        <f>IF(B173="","",IF(C173="Sí",IFERROR(INDEX(VENTAS!$K$2:$K$100,MATCH(B173,VENTAS!$A$2:$A$100,0))*E173,0),0))</f>
        <v/>
      </c>
      <c r="I173" s="6" t="str">
        <f>IF(A173="","",SUMIF(#REF!,A173,#REF!))</f>
        <v/>
      </c>
      <c r="J173" s="6" t="str">
        <f t="shared" si="5"/>
        <v/>
      </c>
    </row>
    <row r="174" spans="5:10">
      <c r="E174" s="8"/>
      <c r="F174" s="8"/>
      <c r="G174" s="8"/>
      <c r="H174" s="6" t="str">
        <f>IF(B174="","",IF(C174="Sí",IFERROR(INDEX(VENTAS!$K$2:$K$100,MATCH(B174,VENTAS!$A$2:$A$100,0))*E174,0),0))</f>
        <v/>
      </c>
      <c r="I174" s="6" t="str">
        <f>IF(A174="","",SUMIF(#REF!,A174,#REF!))</f>
        <v/>
      </c>
      <c r="J174" s="6" t="str">
        <f t="shared" si="5"/>
        <v/>
      </c>
    </row>
    <row r="175" spans="5:10">
      <c r="E175" s="8"/>
      <c r="F175" s="8"/>
      <c r="G175" s="8"/>
      <c r="H175" s="6" t="str">
        <f>IF(B175="","",IF(C175="Sí",IFERROR(INDEX(VENTAS!$K$2:$K$100,MATCH(B175,VENTAS!$A$2:$A$100,0))*E175,0),0))</f>
        <v/>
      </c>
      <c r="I175" s="6" t="str">
        <f>IF(A175="","",SUMIF(#REF!,A175,#REF!))</f>
        <v/>
      </c>
      <c r="J175" s="6" t="str">
        <f t="shared" si="5"/>
        <v/>
      </c>
    </row>
    <row r="176" spans="5:10">
      <c r="E176" s="8"/>
      <c r="F176" s="8"/>
      <c r="G176" s="8"/>
      <c r="H176" s="6" t="str">
        <f>IF(B176="","",IF(C176="Sí",IFERROR(INDEX(VENTAS!$K$2:$K$100,MATCH(B176,VENTAS!$A$2:$A$100,0))*E176,0),0))</f>
        <v/>
      </c>
      <c r="I176" s="6" t="str">
        <f>IF(A176="","",SUMIF(#REF!,A176,#REF!))</f>
        <v/>
      </c>
      <c r="J176" s="6" t="str">
        <f t="shared" si="5"/>
        <v/>
      </c>
    </row>
    <row r="177" spans="5:10">
      <c r="E177" s="8"/>
      <c r="F177" s="8"/>
      <c r="G177" s="8"/>
      <c r="H177" s="6" t="str">
        <f>IF(B177="","",IF(C177="Sí",IFERROR(INDEX(VENTAS!$K$2:$K$100,MATCH(B177,VENTAS!$A$2:$A$100,0))*E177,0),0))</f>
        <v/>
      </c>
      <c r="I177" s="6" t="str">
        <f>IF(A177="","",SUMIF(#REF!,A177,#REF!))</f>
        <v/>
      </c>
      <c r="J177" s="6" t="str">
        <f t="shared" si="5"/>
        <v/>
      </c>
    </row>
    <row r="178" spans="5:10">
      <c r="E178" s="8"/>
      <c r="F178" s="8"/>
      <c r="G178" s="8"/>
      <c r="H178" s="6" t="str">
        <f>IF(B178="","",IF(C178="Sí",IFERROR(INDEX(VENTAS!$K$2:$K$100,MATCH(B178,VENTAS!$A$2:$A$100,0))*E178,0),0))</f>
        <v/>
      </c>
      <c r="I178" s="6" t="str">
        <f>IF(A178="","",SUMIF(#REF!,A178,#REF!))</f>
        <v/>
      </c>
      <c r="J178" s="6" t="str">
        <f t="shared" si="5"/>
        <v/>
      </c>
    </row>
    <row r="179" spans="5:10">
      <c r="E179" s="8"/>
      <c r="F179" s="8"/>
      <c r="G179" s="8"/>
      <c r="H179" s="6" t="str">
        <f>IF(B179="","",IF(C179="Sí",IFERROR(INDEX(VENTAS!$K$2:$K$100,MATCH(B179,VENTAS!$A$2:$A$100,0))*E179,0),0))</f>
        <v/>
      </c>
      <c r="I179" s="6" t="str">
        <f>IF(A179="","",SUMIF(#REF!,A179,#REF!))</f>
        <v/>
      </c>
      <c r="J179" s="6" t="str">
        <f t="shared" si="5"/>
        <v/>
      </c>
    </row>
    <row r="180" spans="5:10">
      <c r="E180" s="8"/>
      <c r="F180" s="8"/>
      <c r="G180" s="8"/>
      <c r="H180" s="6" t="str">
        <f>IF(B180="","",IF(C180="Sí",IFERROR(INDEX(VENTAS!$K$2:$K$100,MATCH(B180,VENTAS!$A$2:$A$100,0))*E180,0),0))</f>
        <v/>
      </c>
      <c r="I180" s="6" t="str">
        <f>IF(A180="","",SUMIF(#REF!,A180,#REF!))</f>
        <v/>
      </c>
      <c r="J180" s="6" t="str">
        <f t="shared" si="5"/>
        <v/>
      </c>
    </row>
    <row r="181" spans="5:10">
      <c r="E181" s="8"/>
      <c r="F181" s="8"/>
      <c r="G181" s="8"/>
      <c r="H181" s="6" t="str">
        <f>IF(B181="","",IF(C181="Sí",IFERROR(INDEX(VENTAS!$K$2:$K$100,MATCH(B181,VENTAS!$A$2:$A$100,0))*E181,0),0))</f>
        <v/>
      </c>
      <c r="I181" s="6" t="str">
        <f>IF(A181="","",SUMIF(#REF!,A181,#REF!))</f>
        <v/>
      </c>
      <c r="J181" s="6" t="str">
        <f t="shared" si="5"/>
        <v/>
      </c>
    </row>
    <row r="182" spans="5:10">
      <c r="E182" s="8"/>
      <c r="F182" s="8"/>
      <c r="G182" s="8"/>
      <c r="H182" s="6" t="str">
        <f>IF(B182="","",IF(C182="Sí",IFERROR(INDEX(VENTAS!$K$2:$K$100,MATCH(B182,VENTAS!$A$2:$A$100,0))*E182,0),0))</f>
        <v/>
      </c>
      <c r="I182" s="6" t="str">
        <f>IF(A182="","",SUMIF(#REF!,A182,#REF!))</f>
        <v/>
      </c>
      <c r="J182" s="6" t="str">
        <f t="shared" si="5"/>
        <v/>
      </c>
    </row>
    <row r="183" spans="5:10">
      <c r="E183" s="8"/>
      <c r="F183" s="8"/>
      <c r="G183" s="8"/>
      <c r="H183" s="6" t="str">
        <f>IF(B183="","",IF(C183="Sí",IFERROR(INDEX(VENTAS!$K$2:$K$100,MATCH(B183,VENTAS!$A$2:$A$100,0))*E183,0),0))</f>
        <v/>
      </c>
      <c r="I183" s="6" t="str">
        <f>IF(A183="","",SUMIF(#REF!,A183,#REF!))</f>
        <v/>
      </c>
      <c r="J183" s="6" t="str">
        <f t="shared" si="5"/>
        <v/>
      </c>
    </row>
    <row r="184" spans="5:10">
      <c r="E184" s="8"/>
      <c r="F184" s="8"/>
      <c r="G184" s="8"/>
      <c r="H184" s="6" t="str">
        <f>IF(B184="","",IF(C184="Sí",IFERROR(INDEX(VENTAS!$K$2:$K$100,MATCH(B184,VENTAS!$A$2:$A$100,0))*E184,0),0))</f>
        <v/>
      </c>
      <c r="I184" s="6" t="str">
        <f>IF(A184="","",SUMIF(#REF!,A184,#REF!))</f>
        <v/>
      </c>
      <c r="J184" s="6" t="str">
        <f t="shared" si="5"/>
        <v/>
      </c>
    </row>
    <row r="185" spans="5:10">
      <c r="E185" s="8"/>
      <c r="F185" s="8"/>
      <c r="G185" s="8"/>
      <c r="H185" s="6" t="str">
        <f>IF(B185="","",IF(C185="Sí",IFERROR(INDEX(VENTAS!$K$2:$K$100,MATCH(B185,VENTAS!$A$2:$A$100,0))*E185,0),0))</f>
        <v/>
      </c>
      <c r="I185" s="6" t="str">
        <f>IF(A185="","",SUMIF(#REF!,A185,#REF!))</f>
        <v/>
      </c>
      <c r="J185" s="6" t="str">
        <f t="shared" si="5"/>
        <v/>
      </c>
    </row>
    <row r="186" spans="5:10">
      <c r="E186" s="8"/>
      <c r="F186" s="8"/>
      <c r="G186" s="8"/>
      <c r="H186" s="6" t="str">
        <f>IF(B186="","",IF(C186="Sí",IFERROR(INDEX(VENTAS!$K$2:$K$100,MATCH(B186,VENTAS!$A$2:$A$100,0))*E186,0),0))</f>
        <v/>
      </c>
      <c r="I186" s="6" t="str">
        <f>IF(A186="","",SUMIF(#REF!,A186,#REF!))</f>
        <v/>
      </c>
      <c r="J186" s="6" t="str">
        <f t="shared" si="5"/>
        <v/>
      </c>
    </row>
    <row r="187" spans="5:10">
      <c r="E187" s="8"/>
      <c r="F187" s="8"/>
      <c r="G187" s="8"/>
      <c r="H187" s="6" t="str">
        <f>IF(B187="","",IF(C187="Sí",IFERROR(INDEX(VENTAS!$K$2:$K$100,MATCH(B187,VENTAS!$A$2:$A$100,0))*E187,0),0))</f>
        <v/>
      </c>
      <c r="I187" s="6" t="str">
        <f>IF(A187="","",SUMIF(#REF!,A187,#REF!))</f>
        <v/>
      </c>
      <c r="J187" s="6" t="str">
        <f t="shared" si="5"/>
        <v/>
      </c>
    </row>
    <row r="188" spans="5:10">
      <c r="E188" s="8"/>
      <c r="F188" s="8"/>
      <c r="G188" s="8"/>
      <c r="H188" s="6" t="str">
        <f>IF(B188="","",IF(C188="Sí",IFERROR(INDEX(VENTAS!$K$2:$K$100,MATCH(B188,VENTAS!$A$2:$A$100,0))*E188,0),0))</f>
        <v/>
      </c>
      <c r="I188" s="6" t="str">
        <f>IF(A188="","",SUMIF(#REF!,A188,#REF!))</f>
        <v/>
      </c>
      <c r="J188" s="6" t="str">
        <f t="shared" si="5"/>
        <v/>
      </c>
    </row>
    <row r="189" spans="5:10">
      <c r="E189" s="8"/>
      <c r="F189" s="8"/>
      <c r="G189" s="8"/>
      <c r="H189" s="6" t="str">
        <f>IF(B189="","",IF(C189="Sí",IFERROR(INDEX(VENTAS!$K$2:$K$100,MATCH(B189,VENTAS!$A$2:$A$100,0))*E189,0),0))</f>
        <v/>
      </c>
      <c r="I189" s="6" t="str">
        <f>IF(A189="","",SUMIF(#REF!,A189,#REF!))</f>
        <v/>
      </c>
      <c r="J189" s="6" t="str">
        <f t="shared" si="5"/>
        <v/>
      </c>
    </row>
    <row r="190" spans="5:10">
      <c r="E190" s="8"/>
      <c r="F190" s="8"/>
      <c r="G190" s="8"/>
      <c r="H190" s="6" t="str">
        <f>IF(B190="","",IF(C190="Sí",IFERROR(INDEX(VENTAS!$K$2:$K$100,MATCH(B190,VENTAS!$A$2:$A$100,0))*E190,0),0))</f>
        <v/>
      </c>
      <c r="I190" s="6" t="str">
        <f>IF(A190="","",SUMIF(#REF!,A190,#REF!))</f>
        <v/>
      </c>
      <c r="J190" s="6" t="str">
        <f t="shared" si="5"/>
        <v/>
      </c>
    </row>
    <row r="191" spans="5:10">
      <c r="E191" s="8"/>
      <c r="F191" s="8"/>
      <c r="G191" s="8"/>
      <c r="H191" s="6" t="str">
        <f>IF(B191="","",IF(C191="Sí",IFERROR(INDEX(VENTAS!$K$2:$K$100,MATCH(B191,VENTAS!$A$2:$A$100,0))*E191,0),0))</f>
        <v/>
      </c>
      <c r="I191" s="6" t="str">
        <f>IF(A191="","",SUMIF(#REF!,A191,#REF!))</f>
        <v/>
      </c>
      <c r="J191" s="6" t="str">
        <f t="shared" si="5"/>
        <v/>
      </c>
    </row>
    <row r="192" spans="5:10">
      <c r="E192" s="8"/>
      <c r="F192" s="8"/>
      <c r="G192" s="8"/>
      <c r="H192" s="6" t="str">
        <f>IF(B192="","",IF(C192="Sí",IFERROR(INDEX(VENTAS!$K$2:$K$100,MATCH(B192,VENTAS!$A$2:$A$100,0))*E192,0),0))</f>
        <v/>
      </c>
      <c r="I192" s="6" t="str">
        <f>IF(A192="","",SUMIF(#REF!,A192,#REF!))</f>
        <v/>
      </c>
      <c r="J192" s="6" t="str">
        <f t="shared" si="5"/>
        <v/>
      </c>
    </row>
    <row r="193" spans="5:10">
      <c r="E193" s="8"/>
      <c r="F193" s="8"/>
      <c r="G193" s="8"/>
      <c r="H193" s="6" t="str">
        <f>IF(B193="","",IF(C193="Sí",IFERROR(INDEX(VENTAS!$K$2:$K$100,MATCH(B193,VENTAS!$A$2:$A$100,0))*E193,0),0))</f>
        <v/>
      </c>
      <c r="I193" s="6" t="str">
        <f>IF(A193="","",SUMIF(#REF!,A193,#REF!))</f>
        <v/>
      </c>
      <c r="J193" s="6" t="str">
        <f t="shared" si="5"/>
        <v/>
      </c>
    </row>
    <row r="194" spans="5:10">
      <c r="E194" s="8"/>
      <c r="F194" s="8"/>
      <c r="G194" s="8"/>
      <c r="H194" s="6" t="str">
        <f>IF(B194="","",IF(C194="Sí",IFERROR(INDEX(VENTAS!$K$2:$K$100,MATCH(B194,VENTAS!$A$2:$A$100,0))*E194,0),0))</f>
        <v/>
      </c>
      <c r="I194" s="6" t="str">
        <f>IF(A194="","",SUMIF(#REF!,A194,#REF!))</f>
        <v/>
      </c>
      <c r="J194" s="6" t="str">
        <f t="shared" ref="J194:J200" si="6">IF(A194="","",H194-I194)</f>
        <v/>
      </c>
    </row>
    <row r="195" spans="5:10">
      <c r="E195" s="8"/>
      <c r="F195" s="8"/>
      <c r="G195" s="8"/>
      <c r="H195" s="6" t="str">
        <f>IF(B195="","",IF(C195="Sí",IFERROR(INDEX(VENTAS!$K$2:$K$100,MATCH(B195,VENTAS!$A$2:$A$100,0))*E195,0),0))</f>
        <v/>
      </c>
      <c r="I195" s="6" t="str">
        <f>IF(A195="","",SUMIF(#REF!,A195,#REF!))</f>
        <v/>
      </c>
      <c r="J195" s="6" t="str">
        <f t="shared" si="6"/>
        <v/>
      </c>
    </row>
    <row r="196" spans="5:10">
      <c r="E196" s="8"/>
      <c r="F196" s="8"/>
      <c r="G196" s="8"/>
      <c r="H196" s="6" t="str">
        <f>IF(B196="","",IF(C196="Sí",IFERROR(INDEX(VENTAS!$K$2:$K$100,MATCH(B196,VENTAS!$A$2:$A$100,0))*E196,0),0))</f>
        <v/>
      </c>
      <c r="I196" s="6" t="str">
        <f>IF(A196="","",SUMIF(#REF!,A196,#REF!))</f>
        <v/>
      </c>
      <c r="J196" s="6" t="str">
        <f t="shared" si="6"/>
        <v/>
      </c>
    </row>
    <row r="197" spans="5:10">
      <c r="E197" s="8"/>
      <c r="F197" s="8"/>
      <c r="G197" s="8"/>
      <c r="H197" s="6" t="str">
        <f>IF(B197="","",IF(C197="Sí",IFERROR(INDEX(VENTAS!$K$2:$K$100,MATCH(B197,VENTAS!$A$2:$A$100,0))*E197,0),0))</f>
        <v/>
      </c>
      <c r="I197" s="6" t="str">
        <f>IF(A197="","",SUMIF(#REF!,A197,#REF!))</f>
        <v/>
      </c>
      <c r="J197" s="6" t="str">
        <f t="shared" si="6"/>
        <v/>
      </c>
    </row>
    <row r="198" spans="5:10">
      <c r="E198" s="8"/>
      <c r="F198" s="8"/>
      <c r="G198" s="8"/>
      <c r="H198" s="6" t="str">
        <f>IF(B198="","",IF(C198="Sí",IFERROR(INDEX(VENTAS!$K$2:$K$100,MATCH(B198,VENTAS!$A$2:$A$100,0))*E198,0),0))</f>
        <v/>
      </c>
      <c r="I198" s="6" t="str">
        <f>IF(A198="","",SUMIF(#REF!,A198,#REF!))</f>
        <v/>
      </c>
      <c r="J198" s="6" t="str">
        <f t="shared" si="6"/>
        <v/>
      </c>
    </row>
    <row r="199" spans="5:10">
      <c r="E199" s="8"/>
      <c r="F199" s="8"/>
      <c r="G199" s="8"/>
      <c r="H199" s="6" t="str">
        <f>IF(B199="","",IF(C199="Sí",IFERROR(INDEX(VENTAS!$K$2:$K$100,MATCH(B199,VENTAS!$A$2:$A$100,0))*E199,0),0))</f>
        <v/>
      </c>
      <c r="I199" s="6" t="str">
        <f>IF(A199="","",SUMIF(#REF!,A199,#REF!))</f>
        <v/>
      </c>
      <c r="J199" s="6" t="str">
        <f t="shared" si="6"/>
        <v/>
      </c>
    </row>
    <row r="200" spans="5:10">
      <c r="E200" s="8"/>
      <c r="F200" s="8"/>
      <c r="G200" s="8"/>
      <c r="H200" s="6" t="str">
        <f>IF(B200="","",IF(C200="Sí",IFERROR(INDEX(VENTAS!$K$2:$K$100,MATCH(B200,VENTAS!$A$2:$A$100,0))*E200,0),0))</f>
        <v/>
      </c>
      <c r="I200" s="6" t="str">
        <f>IF(A200="","",SUMIF(#REF!,A200,#REF!))</f>
        <v/>
      </c>
      <c r="J200" s="6" t="str">
        <f t="shared" si="6"/>
        <v/>
      </c>
    </row>
    <row r="201" spans="5:10">
      <c r="E201" s="8"/>
      <c r="F201" s="8"/>
      <c r="G201" s="8"/>
      <c r="H201" s="6"/>
      <c r="I201" s="6"/>
      <c r="J201" s="6"/>
    </row>
    <row r="202" spans="5:10">
      <c r="E202" s="8"/>
      <c r="F202" s="8"/>
      <c r="G202" s="8"/>
      <c r="H202" s="6"/>
      <c r="I202" s="6"/>
      <c r="J202" s="6"/>
    </row>
    <row r="203" spans="5:10">
      <c r="E203" s="8"/>
      <c r="F203" s="8"/>
      <c r="G203" s="8"/>
      <c r="H203" s="6"/>
      <c r="I203" s="6"/>
      <c r="J203" s="6"/>
    </row>
    <row r="204" spans="5:10">
      <c r="E204" s="8"/>
      <c r="F204" s="8"/>
      <c r="G204" s="8"/>
      <c r="H204" s="6"/>
      <c r="I204" s="6"/>
      <c r="J204" s="6"/>
    </row>
    <row r="205" spans="5:10">
      <c r="E205" s="8"/>
      <c r="F205" s="8"/>
      <c r="G205" s="8"/>
      <c r="H205" s="6"/>
      <c r="I205" s="6"/>
      <c r="J205" s="6"/>
    </row>
    <row r="206" spans="5:10">
      <c r="E206" s="8"/>
      <c r="F206" s="8"/>
      <c r="G206" s="8"/>
      <c r="H206" s="6"/>
      <c r="I206" s="6"/>
      <c r="J206" s="6"/>
    </row>
    <row r="207" spans="5:10">
      <c r="E207" s="8"/>
      <c r="F207" s="8"/>
      <c r="G207" s="8"/>
      <c r="H207" s="6"/>
      <c r="I207" s="6"/>
      <c r="J207" s="6"/>
    </row>
    <row r="208" spans="5:10">
      <c r="E208" s="8"/>
      <c r="F208" s="8"/>
      <c r="G208" s="8"/>
      <c r="H208" s="6"/>
      <c r="I208" s="6"/>
      <c r="J208" s="6"/>
    </row>
    <row r="209" spans="5:10">
      <c r="E209" s="8"/>
      <c r="F209" s="8"/>
      <c r="G209" s="8"/>
      <c r="H209" s="6"/>
      <c r="I209" s="6"/>
      <c r="J209" s="6"/>
    </row>
    <row r="210" spans="5:10">
      <c r="E210" s="8"/>
      <c r="F210" s="8"/>
      <c r="G210" s="8"/>
      <c r="H210" s="6"/>
      <c r="I210" s="6"/>
      <c r="J210" s="6"/>
    </row>
    <row r="211" spans="5:10">
      <c r="E211" s="8"/>
      <c r="F211" s="8"/>
      <c r="G211" s="8"/>
      <c r="H211" s="6"/>
      <c r="I211" s="6"/>
      <c r="J211" s="6"/>
    </row>
    <row r="212" spans="5:10">
      <c r="E212" s="8"/>
      <c r="F212" s="8"/>
      <c r="G212" s="8"/>
      <c r="H212" s="6"/>
      <c r="I212" s="6"/>
      <c r="J212" s="6"/>
    </row>
    <row r="213" spans="5:10">
      <c r="E213" s="8"/>
      <c r="F213" s="8"/>
      <c r="G213" s="8"/>
      <c r="H213" s="6"/>
      <c r="I213" s="6"/>
      <c r="J213" s="6"/>
    </row>
    <row r="214" spans="5:10">
      <c r="E214" s="8"/>
      <c r="F214" s="8"/>
      <c r="G214" s="8"/>
      <c r="H214" s="6"/>
      <c r="I214" s="6"/>
      <c r="J214" s="6"/>
    </row>
    <row r="215" spans="5:10">
      <c r="E215" s="8"/>
      <c r="F215" s="8"/>
      <c r="G215" s="8"/>
      <c r="H215" s="6"/>
      <c r="I215" s="6"/>
      <c r="J215" s="6"/>
    </row>
    <row r="216" spans="5:10">
      <c r="E216" s="8"/>
      <c r="F216" s="8"/>
      <c r="G216" s="8"/>
      <c r="H216" s="6"/>
      <c r="I216" s="6"/>
      <c r="J216" s="6"/>
    </row>
    <row r="217" spans="5:10">
      <c r="E217" s="8"/>
      <c r="F217" s="8"/>
      <c r="G217" s="8"/>
      <c r="H217" s="6"/>
      <c r="I217" s="6"/>
      <c r="J217" s="6"/>
    </row>
    <row r="218" spans="5:10">
      <c r="E218" s="8"/>
      <c r="F218" s="8"/>
      <c r="G218" s="8"/>
      <c r="H218" s="6"/>
      <c r="I218" s="6"/>
      <c r="J218" s="6"/>
    </row>
    <row r="219" spans="5:10">
      <c r="E219" s="8"/>
      <c r="F219" s="8"/>
      <c r="G219" s="8"/>
      <c r="H219" s="6"/>
      <c r="I219" s="6"/>
      <c r="J219" s="6"/>
    </row>
    <row r="220" spans="5:10">
      <c r="E220" s="8"/>
      <c r="F220" s="8"/>
      <c r="G220" s="8"/>
      <c r="H220" s="6"/>
      <c r="I220" s="6"/>
      <c r="J220" s="6"/>
    </row>
  </sheetData>
  <phoneticPr fontId="5" type="noConversion"/>
  <dataValidations count="1">
    <dataValidation type="list" sqref="C2:C200" xr:uid="{00000000-0002-0000-0500-000000000000}">
      <formula1>"Sí,No"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9"/>
  <sheetViews>
    <sheetView workbookViewId="0">
      <selection activeCell="F6" sqref="F6"/>
    </sheetView>
  </sheetViews>
  <sheetFormatPr baseColWidth="10" defaultColWidth="8.796875" defaultRowHeight="13.8"/>
  <cols>
    <col min="1" max="1" width="19" customWidth="1"/>
    <col min="2" max="2" width="105" customWidth="1"/>
    <col min="4" max="4" width="11.19921875" bestFit="1" customWidth="1"/>
    <col min="5" max="5" width="12" bestFit="1" customWidth="1"/>
  </cols>
  <sheetData>
    <row r="1" spans="1:5">
      <c r="A1" s="2" t="s">
        <v>119</v>
      </c>
      <c r="B1" s="9" t="s">
        <v>120</v>
      </c>
    </row>
    <row r="2" spans="1:5">
      <c r="A2" t="s">
        <v>121</v>
      </c>
      <c r="B2" s="10" t="s">
        <v>122</v>
      </c>
      <c r="D2" t="s">
        <v>148</v>
      </c>
      <c r="E2" t="s">
        <v>336</v>
      </c>
    </row>
    <row r="3" spans="1:5">
      <c r="A3" t="s">
        <v>123</v>
      </c>
      <c r="B3" s="10" t="s">
        <v>124</v>
      </c>
      <c r="D3" t="s">
        <v>335</v>
      </c>
      <c r="E3" t="s">
        <v>147</v>
      </c>
    </row>
    <row r="4" spans="1:5">
      <c r="A4" t="s">
        <v>125</v>
      </c>
      <c r="B4" s="10" t="s">
        <v>126</v>
      </c>
      <c r="D4" t="s">
        <v>149</v>
      </c>
      <c r="E4" t="s">
        <v>337</v>
      </c>
    </row>
    <row r="5" spans="1:5">
      <c r="A5" t="s">
        <v>127</v>
      </c>
      <c r="B5" s="10" t="s">
        <v>128</v>
      </c>
      <c r="E5" t="s">
        <v>34</v>
      </c>
    </row>
    <row r="6" spans="1:5">
      <c r="A6" t="s">
        <v>129</v>
      </c>
      <c r="B6" s="10" t="s">
        <v>130</v>
      </c>
    </row>
    <row r="7" spans="1:5">
      <c r="A7" t="s">
        <v>131</v>
      </c>
      <c r="B7" s="10" t="s">
        <v>132</v>
      </c>
    </row>
    <row r="8" spans="1:5">
      <c r="A8" t="s">
        <v>133</v>
      </c>
      <c r="B8" s="10" t="s">
        <v>134</v>
      </c>
    </row>
    <row r="9" spans="1:5">
      <c r="A9" t="s">
        <v>135</v>
      </c>
      <c r="B9" s="10" t="s">
        <v>136</v>
      </c>
    </row>
    <row r="10" spans="1:5">
      <c r="A10" t="s">
        <v>137</v>
      </c>
      <c r="B10" s="10" t="s">
        <v>138</v>
      </c>
    </row>
    <row r="11" spans="1:5">
      <c r="A11" t="s">
        <v>139</v>
      </c>
      <c r="B11" s="10" t="s">
        <v>140</v>
      </c>
    </row>
    <row r="12" spans="1:5">
      <c r="A12" t="s">
        <v>141</v>
      </c>
      <c r="B12" s="10" t="s">
        <v>142</v>
      </c>
    </row>
    <row r="13" spans="1:5">
      <c r="A13" t="s">
        <v>143</v>
      </c>
      <c r="B13" s="10" t="s">
        <v>144</v>
      </c>
    </row>
    <row r="14" spans="1:5">
      <c r="A14" t="s">
        <v>145</v>
      </c>
      <c r="B14" s="10" t="s">
        <v>146</v>
      </c>
    </row>
    <row r="15" spans="1:5">
      <c r="B15" s="10"/>
    </row>
    <row r="19" spans="2:2">
      <c r="B19" t="s">
        <v>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ESTADO_CUENTA</vt:lpstr>
      <vt:lpstr>VENTAS</vt:lpstr>
      <vt:lpstr>ABONOS</vt:lpstr>
      <vt:lpstr>PROYECTOS</vt:lpstr>
      <vt:lpstr>COMISIONES</vt:lpstr>
      <vt:lpstr>GUIA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Correa</dc:creator>
  <cp:lastModifiedBy>Santiago Correa</cp:lastModifiedBy>
  <dcterms:created xsi:type="dcterms:W3CDTF">2026-10-12T18:53:14Z</dcterms:created>
  <dcterms:modified xsi:type="dcterms:W3CDTF">2026-10-17T02:42:29Z</dcterms:modified>
</cp:coreProperties>
</file>